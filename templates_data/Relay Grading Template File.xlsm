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heets/sheet2.xml" ContentType="application/vnd.openxmlformats-officedocument.spreadsheetml.chart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5.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harts/chart2.xml" ContentType="application/vnd.openxmlformats-officedocument.drawingml.chart+xml"/>
  <Override PartName="/xl/drawings/drawing6.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harts/chart3.xml" ContentType="application/vnd.openxmlformats-officedocument.drawingml.chart+xml"/>
  <Override PartName="/xl/drawings/drawing7.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harts/chart4.xml" ContentType="application/vnd.openxmlformats-officedocument.drawingml.chart+xml"/>
  <Override PartName="/xl/drawings/drawing8.xml" ContentType="application/vnd.openxmlformats-officedocument.drawing+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harts/chart5.xml" ContentType="application/vnd.openxmlformats-officedocument.drawingml.chart+xml"/>
  <Override PartName="/xl/drawings/drawing9.xml" ContentType="application/vnd.openxmlformats-officedocument.drawing+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harts/chart6.xml" ContentType="application/vnd.openxmlformats-officedocument.drawingml.chart+xml"/>
  <Override PartName="/xl/drawings/drawing10.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harts/chart7.xml" ContentType="application/vnd.openxmlformats-officedocument.drawingml.chart+xml"/>
  <Override PartName="/xl/drawings/drawing11.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harts/chart8.xml" ContentType="application/vnd.openxmlformats-officedocument.drawingml.chart+xml"/>
  <Override PartName="/xl/drawings/drawing12.xml" ContentType="application/vnd.openxmlformats-officedocument.drawing+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harts/chart9.xml" ContentType="application/vnd.openxmlformats-officedocument.drawingml.chart+xml"/>
  <Override PartName="/xl/drawings/drawing13.xml" ContentType="application/vnd.openxmlformats-officedocument.drawing+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harts/chart10.xml" ContentType="application/vnd.openxmlformats-officedocument.drawingml.chart+xml"/>
  <Override PartName="/xl/drawings/drawing14.xml" ContentType="application/vnd.openxmlformats-officedocument.drawing+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harts/chart11.xml" ContentType="application/vnd.openxmlformats-officedocument.drawingml.chart+xml"/>
  <Override PartName="/xl/comments1.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drawings/drawing16.xml" ContentType="application/vnd.openxmlformats-officedocument.drawing+xml"/>
  <Override PartName="/xl/charts/chart12.xml" ContentType="application/vnd.openxmlformats-officedocument.drawingml.chart+xml"/>
  <Override PartName="/xl/drawings/drawing1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Users\Dan\"/>
    </mc:Choice>
  </mc:AlternateContent>
  <xr:revisionPtr revIDLastSave="0" documentId="13_ncr:1_{CE02B12A-4865-45A5-9CA8-B384C2B16AEC}" xr6:coauthVersionLast="47" xr6:coauthVersionMax="47" xr10:uidLastSave="{00000000-0000-0000-0000-000000000000}"/>
  <bookViews>
    <workbookView xWindow="-28920" yWindow="-120" windowWidth="29040" windowHeight="15720" tabRatio="868" firstSheet="1" activeTab="4" xr2:uid="{00000000-000D-0000-FFFF-FFFF00000000}"/>
  </bookViews>
  <sheets>
    <sheet name="Calcs" sheetId="6" state="hidden" r:id="rId1"/>
    <sheet name="Faults" sheetId="10" r:id="rId2"/>
    <sheet name="Grading Curves" sheetId="8" r:id="rId3"/>
    <sheet name="Print" sheetId="21" r:id="rId4"/>
    <sheet name="Relay 1" sheetId="1" r:id="rId5"/>
    <sheet name="Relay 2" sheetId="25" r:id="rId6"/>
    <sheet name="Relay 3" sheetId="26" r:id="rId7"/>
    <sheet name="Relay 4" sheetId="27" r:id="rId8"/>
    <sheet name="Relay 5" sheetId="28" r:id="rId9"/>
    <sheet name="Relay 6" sheetId="29" r:id="rId10"/>
    <sheet name="Relay 7" sheetId="30" r:id="rId11"/>
    <sheet name="Relay 8" sheetId="31" r:id="rId12"/>
    <sheet name="Relay 9" sheetId="32" r:id="rId13"/>
    <sheet name="Relay 10" sheetId="33" r:id="rId14"/>
    <sheet name="List" sheetId="2" r:id="rId15"/>
    <sheet name="Custom Curves" sheetId="39" r:id="rId16"/>
    <sheet name="Scratchpad" sheetId="34" r:id="rId17"/>
    <sheet name="Version History" sheetId="35" r:id="rId18"/>
  </sheets>
  <functionGroups builtInGroupCount="19"/>
  <definedNames>
    <definedName name="_xlnm.Print_Area" localSheetId="1">Faults!$A$2:$C$100</definedName>
    <definedName name="_xlnm.Print_Area" localSheetId="4">'Relay 1'!$A$1:$M$19</definedName>
    <definedName name="_xlnm.Print_Area" localSheetId="13">'Relay 10'!$A$1:$N$19</definedName>
    <definedName name="_xlnm.Print_Area" localSheetId="5">'Relay 2'!$A$1:$N$19</definedName>
    <definedName name="_xlnm.Print_Area" localSheetId="6">'Relay 3'!$A$1:$N$19</definedName>
    <definedName name="_xlnm.Print_Area" localSheetId="7">'Relay 4'!$A$1:$N$19</definedName>
    <definedName name="_xlnm.Print_Area" localSheetId="8">'Relay 5'!$A$1:$N$19</definedName>
    <definedName name="_xlnm.Print_Area" localSheetId="9">'Relay 6'!$A$1:$N$19</definedName>
    <definedName name="_xlnm.Print_Area" localSheetId="10">'Relay 7'!$A$1:$N$19</definedName>
    <definedName name="_xlnm.Print_Area" localSheetId="11">'Relay 8'!$A$1:$N$19</definedName>
    <definedName name="_xlnm.Print_Area" localSheetId="12">'Relay 9'!$A$1:$N$19</definedName>
    <definedName name="RELAYS">'Custom Curves'!$1:$1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76" i="6" l="1"/>
  <c r="U79" i="6"/>
  <c r="B37" i="26"/>
  <c r="B9" i="26"/>
  <c r="B38" i="21" s="1"/>
  <c r="A46" i="33"/>
  <c r="A46" i="32"/>
  <c r="A46" i="31"/>
  <c r="A46" i="30"/>
  <c r="A46" i="29"/>
  <c r="A46" i="28"/>
  <c r="A46" i="27"/>
  <c r="A46" i="26"/>
  <c r="A46" i="1"/>
  <c r="B3" i="33"/>
  <c r="B3" i="32"/>
  <c r="B3" i="31"/>
  <c r="B3" i="30"/>
  <c r="B3" i="29"/>
  <c r="B3" i="28"/>
  <c r="B3" i="27"/>
  <c r="B3" i="26"/>
  <c r="B3" i="25"/>
  <c r="B3" i="1"/>
  <c r="U44" i="6"/>
  <c r="U41" i="6"/>
  <c r="U39" i="6"/>
  <c r="F28" i="33"/>
  <c r="F28" i="32"/>
  <c r="F28" i="31"/>
  <c r="F28" i="30"/>
  <c r="F28" i="29"/>
  <c r="F28" i="28"/>
  <c r="F28" i="27"/>
  <c r="F28" i="26"/>
  <c r="F28" i="25"/>
  <c r="F28" i="1"/>
  <c r="J6" i="33"/>
  <c r="G140" i="21" s="1"/>
  <c r="F8" i="33"/>
  <c r="F9" i="33"/>
  <c r="B9" i="33"/>
  <c r="B143" i="21" s="1"/>
  <c r="F13" i="33"/>
  <c r="F25" i="33"/>
  <c r="B37" i="33"/>
  <c r="J6" i="32"/>
  <c r="F8" i="32"/>
  <c r="F9" i="32"/>
  <c r="B9" i="32"/>
  <c r="B128" i="21"/>
  <c r="F13" i="32"/>
  <c r="F25" i="32"/>
  <c r="B37" i="32"/>
  <c r="J6" i="31"/>
  <c r="F8" i="31"/>
  <c r="F9" i="31"/>
  <c r="B9" i="31"/>
  <c r="B113" i="21" s="1"/>
  <c r="F13" i="31"/>
  <c r="F25" i="31"/>
  <c r="B37" i="31"/>
  <c r="J6" i="30"/>
  <c r="F8" i="30"/>
  <c r="F9" i="30" s="1"/>
  <c r="B9" i="30"/>
  <c r="B98" i="21" s="1"/>
  <c r="F13" i="30"/>
  <c r="F25" i="30"/>
  <c r="B37" i="30"/>
  <c r="J6" i="29"/>
  <c r="G80" i="21"/>
  <c r="F8" i="29"/>
  <c r="F9" i="29"/>
  <c r="B9" i="29"/>
  <c r="B83" i="21"/>
  <c r="F13" i="29"/>
  <c r="F25" i="29"/>
  <c r="B37" i="29"/>
  <c r="J6" i="28"/>
  <c r="G65" i="21" s="1"/>
  <c r="F8" i="28"/>
  <c r="F9" i="28"/>
  <c r="B9" i="28"/>
  <c r="B68" i="21" s="1"/>
  <c r="F13" i="28"/>
  <c r="F25" i="28"/>
  <c r="B37" i="28"/>
  <c r="J6" i="27"/>
  <c r="G50" i="21" s="1"/>
  <c r="F8" i="27"/>
  <c r="F9" i="27" s="1"/>
  <c r="B9" i="27"/>
  <c r="B53" i="21"/>
  <c r="F13" i="27"/>
  <c r="F25" i="27"/>
  <c r="B37" i="27"/>
  <c r="J6" i="26"/>
  <c r="G35" i="21" s="1"/>
  <c r="F8" i="26"/>
  <c r="F9" i="26" s="1"/>
  <c r="F13" i="26"/>
  <c r="F25" i="26"/>
  <c r="J6" i="25"/>
  <c r="G20" i="21" s="1"/>
  <c r="F8" i="25"/>
  <c r="F9" i="25"/>
  <c r="B9" i="25"/>
  <c r="B23" i="21" s="1"/>
  <c r="F13" i="25"/>
  <c r="F25" i="25"/>
  <c r="B37" i="25"/>
  <c r="A46" i="25"/>
  <c r="AC3" i="1"/>
  <c r="AC4" i="1"/>
  <c r="AC5" i="1"/>
  <c r="J6" i="1"/>
  <c r="G5" i="21" s="1"/>
  <c r="AC6" i="1"/>
  <c r="AC7" i="1"/>
  <c r="F8" i="1"/>
  <c r="F9" i="1"/>
  <c r="AC8" i="1"/>
  <c r="B9" i="1"/>
  <c r="B8" i="21" s="1"/>
  <c r="AC9" i="1"/>
  <c r="AC10" i="1"/>
  <c r="AC11" i="1"/>
  <c r="AC12" i="1"/>
  <c r="F13" i="1"/>
  <c r="AC13" i="1"/>
  <c r="AC14" i="1"/>
  <c r="AC15" i="1"/>
  <c r="AC16" i="1"/>
  <c r="AC17" i="1"/>
  <c r="AC18" i="1"/>
  <c r="AC19" i="1"/>
  <c r="AC20" i="1"/>
  <c r="AC21" i="1"/>
  <c r="AC22" i="1"/>
  <c r="F25" i="1"/>
  <c r="B37" i="1"/>
  <c r="A1" i="21"/>
  <c r="B1" i="21"/>
  <c r="I1" i="21"/>
  <c r="J1" i="21"/>
  <c r="K1" i="21"/>
  <c r="A2" i="21"/>
  <c r="A3" i="21"/>
  <c r="B3" i="21"/>
  <c r="F3" i="21"/>
  <c r="A4" i="21"/>
  <c r="B4" i="21"/>
  <c r="A5" i="21"/>
  <c r="B5" i="21"/>
  <c r="C5" i="21"/>
  <c r="F5" i="21"/>
  <c r="H5" i="21"/>
  <c r="I5" i="21"/>
  <c r="A6" i="21"/>
  <c r="B6" i="21"/>
  <c r="C6" i="21"/>
  <c r="D6" i="21"/>
  <c r="F6" i="21"/>
  <c r="G6" i="21"/>
  <c r="I6" i="21"/>
  <c r="J6" i="21"/>
  <c r="A7" i="21"/>
  <c r="B7" i="21"/>
  <c r="C7" i="21"/>
  <c r="F7" i="21"/>
  <c r="G7" i="21"/>
  <c r="I7" i="21"/>
  <c r="J7" i="21"/>
  <c r="A8" i="21"/>
  <c r="C8" i="21"/>
  <c r="F8" i="21"/>
  <c r="G8" i="21"/>
  <c r="I8" i="21"/>
  <c r="J8" i="21"/>
  <c r="A9" i="21"/>
  <c r="B9" i="21"/>
  <c r="A10" i="21"/>
  <c r="B10" i="21"/>
  <c r="G10" i="21"/>
  <c r="I10" i="21"/>
  <c r="A12" i="21"/>
  <c r="B12" i="21"/>
  <c r="C12" i="21"/>
  <c r="A13" i="21"/>
  <c r="B13" i="21"/>
  <c r="C13" i="21"/>
  <c r="A15" i="21"/>
  <c r="B15" i="21"/>
  <c r="C15" i="21"/>
  <c r="A17" i="21"/>
  <c r="A18" i="21"/>
  <c r="B18" i="21"/>
  <c r="F18" i="21"/>
  <c r="A19" i="21"/>
  <c r="B19" i="21"/>
  <c r="A20" i="21"/>
  <c r="B20" i="21"/>
  <c r="C20" i="21"/>
  <c r="I20" i="21"/>
  <c r="A21" i="21"/>
  <c r="B21" i="21"/>
  <c r="C21" i="21"/>
  <c r="D21" i="21"/>
  <c r="F21" i="21"/>
  <c r="G21" i="21"/>
  <c r="I21" i="21"/>
  <c r="J21" i="21"/>
  <c r="A22" i="21"/>
  <c r="B22" i="21"/>
  <c r="C22" i="21"/>
  <c r="F22" i="21"/>
  <c r="G22" i="21"/>
  <c r="I22" i="21"/>
  <c r="J22" i="21"/>
  <c r="A23" i="21"/>
  <c r="C23" i="21"/>
  <c r="F23" i="21"/>
  <c r="G23" i="21"/>
  <c r="I23" i="21"/>
  <c r="J23" i="21"/>
  <c r="A24" i="21"/>
  <c r="B24" i="21"/>
  <c r="A25" i="21"/>
  <c r="B25" i="21"/>
  <c r="G25" i="21"/>
  <c r="I25" i="21"/>
  <c r="A27" i="21"/>
  <c r="B27" i="21"/>
  <c r="C27" i="21"/>
  <c r="A28" i="21"/>
  <c r="B28" i="21"/>
  <c r="C28" i="21"/>
  <c r="A30" i="21"/>
  <c r="B30" i="21"/>
  <c r="C30" i="21"/>
  <c r="A32" i="21"/>
  <c r="A33" i="21"/>
  <c r="B33" i="21"/>
  <c r="F33" i="21"/>
  <c r="A34" i="21"/>
  <c r="B34" i="21"/>
  <c r="A35" i="21"/>
  <c r="B35" i="21"/>
  <c r="C35" i="21"/>
  <c r="I35" i="21"/>
  <c r="A36" i="21"/>
  <c r="B36" i="21"/>
  <c r="C36" i="21"/>
  <c r="D36" i="21"/>
  <c r="F36" i="21"/>
  <c r="G36" i="21"/>
  <c r="I36" i="21"/>
  <c r="J36" i="21"/>
  <c r="A37" i="21"/>
  <c r="B37" i="21"/>
  <c r="C37" i="21"/>
  <c r="F37" i="21"/>
  <c r="G37" i="21"/>
  <c r="I37" i="21"/>
  <c r="J37" i="21"/>
  <c r="A38" i="21"/>
  <c r="C38" i="21"/>
  <c r="F38" i="21"/>
  <c r="G38" i="21"/>
  <c r="I38" i="21"/>
  <c r="J38" i="21"/>
  <c r="A39" i="21"/>
  <c r="B39" i="21"/>
  <c r="A40" i="21"/>
  <c r="B40" i="21"/>
  <c r="G40" i="21"/>
  <c r="I40" i="21"/>
  <c r="A42" i="21"/>
  <c r="B42" i="21"/>
  <c r="C42" i="21"/>
  <c r="A43" i="21"/>
  <c r="B43" i="21"/>
  <c r="C43" i="21"/>
  <c r="A45" i="21"/>
  <c r="B45" i="21"/>
  <c r="C45" i="21"/>
  <c r="A47" i="21"/>
  <c r="A48" i="21"/>
  <c r="B48" i="21"/>
  <c r="F48" i="21"/>
  <c r="A49" i="21"/>
  <c r="B49" i="21"/>
  <c r="A50" i="21"/>
  <c r="B50" i="21"/>
  <c r="C50" i="21"/>
  <c r="I50" i="21"/>
  <c r="A51" i="21"/>
  <c r="B51" i="21"/>
  <c r="C51" i="21"/>
  <c r="D51" i="21"/>
  <c r="F51" i="21"/>
  <c r="G51" i="21"/>
  <c r="I51" i="21"/>
  <c r="J51" i="21"/>
  <c r="A52" i="21"/>
  <c r="B52" i="21"/>
  <c r="C52" i="21"/>
  <c r="F52" i="21"/>
  <c r="G52" i="21"/>
  <c r="I52" i="21"/>
  <c r="J52" i="21"/>
  <c r="A53" i="21"/>
  <c r="C53" i="21"/>
  <c r="F53" i="21"/>
  <c r="G53" i="21"/>
  <c r="I53" i="21"/>
  <c r="J53" i="21"/>
  <c r="A54" i="21"/>
  <c r="B54" i="21"/>
  <c r="A55" i="21"/>
  <c r="B55" i="21"/>
  <c r="G55" i="21"/>
  <c r="I55" i="21"/>
  <c r="A57" i="21"/>
  <c r="B57" i="21"/>
  <c r="C57" i="21"/>
  <c r="A58" i="21"/>
  <c r="B58" i="21"/>
  <c r="C58" i="21"/>
  <c r="A60" i="21"/>
  <c r="B60" i="21"/>
  <c r="C60" i="21"/>
  <c r="A62" i="21"/>
  <c r="A63" i="21"/>
  <c r="B63" i="21"/>
  <c r="F63" i="21"/>
  <c r="A64" i="21"/>
  <c r="B64" i="21"/>
  <c r="A65" i="21"/>
  <c r="B65" i="21"/>
  <c r="C65" i="21"/>
  <c r="I65" i="21"/>
  <c r="A66" i="21"/>
  <c r="B66" i="21"/>
  <c r="C66" i="21"/>
  <c r="D66" i="21"/>
  <c r="F66" i="21"/>
  <c r="G66" i="21"/>
  <c r="I66" i="21"/>
  <c r="J66" i="21"/>
  <c r="A67" i="21"/>
  <c r="B67" i="21"/>
  <c r="C67" i="21"/>
  <c r="F67" i="21"/>
  <c r="G67" i="21"/>
  <c r="I67" i="21"/>
  <c r="J67" i="21"/>
  <c r="A68" i="21"/>
  <c r="C68" i="21"/>
  <c r="F68" i="21"/>
  <c r="G68" i="21"/>
  <c r="I68" i="21"/>
  <c r="J68" i="21"/>
  <c r="A69" i="21"/>
  <c r="B69" i="21"/>
  <c r="A70" i="21"/>
  <c r="B70" i="21"/>
  <c r="G70" i="21"/>
  <c r="I70" i="21"/>
  <c r="A72" i="21"/>
  <c r="B72" i="21"/>
  <c r="C72" i="21"/>
  <c r="A73" i="21"/>
  <c r="B73" i="21"/>
  <c r="C73" i="21"/>
  <c r="A75" i="21"/>
  <c r="B75" i="21"/>
  <c r="C75" i="21"/>
  <c r="A77" i="21"/>
  <c r="A78" i="21"/>
  <c r="B78" i="21"/>
  <c r="F78" i="21"/>
  <c r="A79" i="21"/>
  <c r="B79" i="21"/>
  <c r="A80" i="21"/>
  <c r="B80" i="21"/>
  <c r="C80" i="21"/>
  <c r="I80" i="21"/>
  <c r="A81" i="21"/>
  <c r="B81" i="21"/>
  <c r="C81" i="21"/>
  <c r="D81" i="21"/>
  <c r="F81" i="21"/>
  <c r="G81" i="21"/>
  <c r="I81" i="21"/>
  <c r="J81" i="21"/>
  <c r="A82" i="21"/>
  <c r="B82" i="21"/>
  <c r="C82" i="21"/>
  <c r="F82" i="21"/>
  <c r="G82" i="21"/>
  <c r="I82" i="21"/>
  <c r="J82" i="21"/>
  <c r="A83" i="21"/>
  <c r="C83" i="21"/>
  <c r="F83" i="21"/>
  <c r="G83" i="21"/>
  <c r="I83" i="21"/>
  <c r="J83" i="21"/>
  <c r="A84" i="21"/>
  <c r="B84" i="21"/>
  <c r="A85" i="21"/>
  <c r="B85" i="21"/>
  <c r="G85" i="21"/>
  <c r="I85" i="21"/>
  <c r="A87" i="21"/>
  <c r="B87" i="21"/>
  <c r="C87" i="21"/>
  <c r="A88" i="21"/>
  <c r="B88" i="21"/>
  <c r="C88" i="21"/>
  <c r="A90" i="21"/>
  <c r="B90" i="21"/>
  <c r="C90" i="21"/>
  <c r="A92" i="21"/>
  <c r="A93" i="21"/>
  <c r="B93" i="21"/>
  <c r="F93" i="21"/>
  <c r="A94" i="21"/>
  <c r="B94" i="21"/>
  <c r="A95" i="21"/>
  <c r="B95" i="21"/>
  <c r="C95" i="21"/>
  <c r="G95" i="21"/>
  <c r="I95" i="21"/>
  <c r="A96" i="21"/>
  <c r="B96" i="21"/>
  <c r="C96" i="21"/>
  <c r="D96" i="21"/>
  <c r="F96" i="21"/>
  <c r="G96" i="21"/>
  <c r="I96" i="21"/>
  <c r="J96" i="21"/>
  <c r="A97" i="21"/>
  <c r="B97" i="21"/>
  <c r="C97" i="21"/>
  <c r="F97" i="21"/>
  <c r="G97" i="21"/>
  <c r="I97" i="21"/>
  <c r="J97" i="21"/>
  <c r="A98" i="21"/>
  <c r="C98" i="21"/>
  <c r="F98" i="21"/>
  <c r="G98" i="21"/>
  <c r="I98" i="21"/>
  <c r="J98" i="21"/>
  <c r="A99" i="21"/>
  <c r="B99" i="21"/>
  <c r="A100" i="21"/>
  <c r="B100" i="21"/>
  <c r="G100" i="21"/>
  <c r="I100" i="21"/>
  <c r="A102" i="21"/>
  <c r="B102" i="21"/>
  <c r="C102" i="21"/>
  <c r="A103" i="21"/>
  <c r="B103" i="21"/>
  <c r="C103" i="21"/>
  <c r="A105" i="21"/>
  <c r="B105" i="21"/>
  <c r="C105" i="21"/>
  <c r="A107" i="21"/>
  <c r="A108" i="21"/>
  <c r="B108" i="21"/>
  <c r="F108" i="21"/>
  <c r="A109" i="21"/>
  <c r="B109" i="21"/>
  <c r="A110" i="21"/>
  <c r="B110" i="21"/>
  <c r="C110" i="21"/>
  <c r="G110" i="21"/>
  <c r="I110" i="21"/>
  <c r="A111" i="21"/>
  <c r="B111" i="21"/>
  <c r="C111" i="21"/>
  <c r="D111" i="21"/>
  <c r="F111" i="21"/>
  <c r="G111" i="21"/>
  <c r="I111" i="21"/>
  <c r="J111" i="21"/>
  <c r="A112" i="21"/>
  <c r="B112" i="21"/>
  <c r="C112" i="21"/>
  <c r="F112" i="21"/>
  <c r="G112" i="21"/>
  <c r="I112" i="21"/>
  <c r="J112" i="21"/>
  <c r="A113" i="21"/>
  <c r="C113" i="21"/>
  <c r="F113" i="21"/>
  <c r="G113" i="21"/>
  <c r="I113" i="21"/>
  <c r="J113" i="21"/>
  <c r="A114" i="21"/>
  <c r="B114" i="21"/>
  <c r="A115" i="21"/>
  <c r="B115" i="21"/>
  <c r="G115" i="21"/>
  <c r="I115" i="21"/>
  <c r="A117" i="21"/>
  <c r="B117" i="21"/>
  <c r="C117" i="21"/>
  <c r="A118" i="21"/>
  <c r="B118" i="21"/>
  <c r="C118" i="21"/>
  <c r="A120" i="21"/>
  <c r="B120" i="21"/>
  <c r="C120" i="21"/>
  <c r="A122" i="21"/>
  <c r="A123" i="21"/>
  <c r="B123" i="21"/>
  <c r="F123" i="21"/>
  <c r="A124" i="21"/>
  <c r="B124" i="21"/>
  <c r="A125" i="21"/>
  <c r="B125" i="21"/>
  <c r="C125" i="21"/>
  <c r="G125" i="21"/>
  <c r="I125" i="21"/>
  <c r="A126" i="21"/>
  <c r="B126" i="21"/>
  <c r="C126" i="21"/>
  <c r="D126" i="21"/>
  <c r="F126" i="21"/>
  <c r="G126" i="21"/>
  <c r="I126" i="21"/>
  <c r="J126" i="21"/>
  <c r="A127" i="21"/>
  <c r="B127" i="21"/>
  <c r="C127" i="21"/>
  <c r="F127" i="21"/>
  <c r="G127" i="21"/>
  <c r="I127" i="21"/>
  <c r="J127" i="21"/>
  <c r="A128" i="21"/>
  <c r="C128" i="21"/>
  <c r="F128" i="21"/>
  <c r="G128" i="21"/>
  <c r="I128" i="21"/>
  <c r="J128" i="21"/>
  <c r="A129" i="21"/>
  <c r="B129" i="21"/>
  <c r="A130" i="21"/>
  <c r="B130" i="21"/>
  <c r="G130" i="21"/>
  <c r="I130" i="21"/>
  <c r="A132" i="21"/>
  <c r="B132" i="21"/>
  <c r="C132" i="21"/>
  <c r="A133" i="21"/>
  <c r="B133" i="21"/>
  <c r="C133" i="21"/>
  <c r="A135" i="21"/>
  <c r="B135" i="21"/>
  <c r="C135" i="21"/>
  <c r="A137" i="21"/>
  <c r="A138" i="21"/>
  <c r="B138" i="21"/>
  <c r="F138" i="21"/>
  <c r="A139" i="21"/>
  <c r="B139" i="21"/>
  <c r="A140" i="21"/>
  <c r="B140" i="21"/>
  <c r="C140" i="21"/>
  <c r="I140" i="21"/>
  <c r="A141" i="21"/>
  <c r="B141" i="21"/>
  <c r="C141" i="21"/>
  <c r="D141" i="21"/>
  <c r="F141" i="21"/>
  <c r="G141" i="21"/>
  <c r="I141" i="21"/>
  <c r="J141" i="21"/>
  <c r="A142" i="21"/>
  <c r="B142" i="21"/>
  <c r="C142" i="21"/>
  <c r="F142" i="21"/>
  <c r="G142" i="21"/>
  <c r="I142" i="21"/>
  <c r="J142" i="21"/>
  <c r="A143" i="21"/>
  <c r="C143" i="21"/>
  <c r="F143" i="21"/>
  <c r="G143" i="21"/>
  <c r="I143" i="21"/>
  <c r="J143" i="21"/>
  <c r="A144" i="21"/>
  <c r="B144" i="21"/>
  <c r="A145" i="21"/>
  <c r="B145" i="21"/>
  <c r="G145" i="21"/>
  <c r="I145" i="21"/>
  <c r="A147" i="21"/>
  <c r="B147" i="21"/>
  <c r="C147" i="21"/>
  <c r="A148" i="21"/>
  <c r="B148" i="21"/>
  <c r="C148" i="21"/>
  <c r="A150" i="21"/>
  <c r="B150" i="21"/>
  <c r="C150" i="21"/>
  <c r="B2" i="6"/>
  <c r="B3" i="6" s="1"/>
  <c r="C2" i="6"/>
  <c r="AD4" i="1" s="1"/>
  <c r="D2" i="6"/>
  <c r="D3" i="6" s="1"/>
  <c r="E2" i="6"/>
  <c r="E3" i="6"/>
  <c r="F2" i="6"/>
  <c r="F3" i="6" s="1"/>
  <c r="G2" i="6"/>
  <c r="G3" i="6"/>
  <c r="H2" i="6"/>
  <c r="H3" i="6" s="1"/>
  <c r="AD9" i="1"/>
  <c r="I2" i="6"/>
  <c r="AD10" i="1"/>
  <c r="J2" i="6"/>
  <c r="J3" i="6" s="1"/>
  <c r="K2" i="6"/>
  <c r="K3" i="6"/>
  <c r="B4" i="6"/>
  <c r="C4" i="6"/>
  <c r="D4" i="6"/>
  <c r="E4" i="6"/>
  <c r="F4" i="6"/>
  <c r="G4" i="6"/>
  <c r="H4" i="6"/>
  <c r="I4" i="6"/>
  <c r="J4" i="6"/>
  <c r="K4" i="6"/>
  <c r="A5" i="6"/>
  <c r="U5" i="6"/>
  <c r="L6" i="6"/>
  <c r="L7" i="6" s="1"/>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40" i="6"/>
  <c r="U42" i="6"/>
  <c r="U43"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7" i="6"/>
  <c r="U78" i="6"/>
  <c r="U80" i="6"/>
  <c r="U81" i="6"/>
  <c r="U82" i="6"/>
  <c r="U83" i="6"/>
  <c r="U84" i="6"/>
  <c r="U87" i="6"/>
  <c r="U88" i="6"/>
  <c r="U89" i="6"/>
  <c r="U92" i="6"/>
  <c r="U93" i="6"/>
  <c r="U94" i="6"/>
  <c r="U95" i="6"/>
  <c r="U96" i="6"/>
  <c r="U97" i="6"/>
  <c r="U98" i="6"/>
  <c r="U99" i="6"/>
  <c r="U100" i="6"/>
  <c r="U101" i="6"/>
  <c r="U102" i="6"/>
  <c r="U103" i="6"/>
  <c r="U104" i="6"/>
  <c r="U105" i="6"/>
  <c r="U106" i="6"/>
  <c r="U107" i="6"/>
  <c r="U108" i="6"/>
  <c r="U109" i="6"/>
  <c r="U110" i="6"/>
  <c r="U111" i="6"/>
  <c r="U112" i="6"/>
  <c r="U113" i="6"/>
  <c r="A176" i="6"/>
  <c r="A177" i="6"/>
  <c r="B178" i="6"/>
  <c r="A180" i="6"/>
  <c r="A181" i="6" s="1"/>
  <c r="B182" i="6"/>
  <c r="A184" i="6"/>
  <c r="A185" i="6" s="1"/>
  <c r="B186" i="6"/>
  <c r="A188" i="6"/>
  <c r="A189" i="6" s="1"/>
  <c r="B190" i="6"/>
  <c r="A192" i="6"/>
  <c r="A193" i="6" s="1"/>
  <c r="B194" i="6"/>
  <c r="A196" i="6"/>
  <c r="A197" i="6" s="1"/>
  <c r="B198" i="6"/>
  <c r="A200" i="6"/>
  <c r="A201" i="6" s="1"/>
  <c r="B202" i="6"/>
  <c r="A204" i="6"/>
  <c r="A205" i="6" s="1"/>
  <c r="B206" i="6"/>
  <c r="A208" i="6"/>
  <c r="A209" i="6"/>
  <c r="B210" i="6"/>
  <c r="A212" i="6"/>
  <c r="A213" i="6" s="1"/>
  <c r="B214" i="6"/>
  <c r="A216" i="6"/>
  <c r="A217" i="6"/>
  <c r="B218" i="6"/>
  <c r="A220" i="6"/>
  <c r="A221" i="6" s="1"/>
  <c r="B222" i="6"/>
  <c r="A224" i="6"/>
  <c r="A225" i="6"/>
  <c r="B226" i="6"/>
  <c r="A228" i="6"/>
  <c r="A229" i="6" s="1"/>
  <c r="B230" i="6"/>
  <c r="A232" i="6"/>
  <c r="A233" i="6"/>
  <c r="B234" i="6"/>
  <c r="A236" i="6"/>
  <c r="A237" i="6" s="1"/>
  <c r="B238" i="6"/>
  <c r="A240" i="6"/>
  <c r="A241" i="6"/>
  <c r="B242" i="6"/>
  <c r="A244" i="6"/>
  <c r="A245" i="6" s="1"/>
  <c r="B246" i="6"/>
  <c r="A248" i="6"/>
  <c r="A249" i="6"/>
  <c r="B250" i="6"/>
  <c r="A252" i="6"/>
  <c r="A253" i="6" s="1"/>
  <c r="B254" i="6"/>
  <c r="AD6" i="1"/>
  <c r="AD11" i="1"/>
  <c r="AD12" i="1"/>
  <c r="AD8" i="1"/>
  <c r="I3" i="6"/>
  <c r="AD3" i="1" l="1"/>
  <c r="C3" i="6"/>
  <c r="AD7" i="1"/>
  <c r="L8" i="6"/>
  <c r="A7" i="6"/>
  <c r="A6" i="6"/>
  <c r="AD5" i="1"/>
  <c r="L9" i="6" l="1"/>
  <c r="A8" i="6"/>
  <c r="A9" i="6" l="1"/>
  <c r="L10" i="6"/>
  <c r="L11" i="6" l="1"/>
  <c r="A10" i="6"/>
  <c r="A11" i="6" l="1"/>
  <c r="L12" i="6"/>
  <c r="A12" i="6" l="1"/>
  <c r="L13" i="6"/>
  <c r="A13" i="6" l="1"/>
  <c r="L14" i="6"/>
  <c r="A14" i="6" l="1"/>
  <c r="L15" i="6"/>
  <c r="A15" i="6" l="1"/>
  <c r="L16" i="6"/>
  <c r="A16" i="6" l="1"/>
  <c r="L17" i="6"/>
  <c r="A17" i="6" l="1"/>
  <c r="L18" i="6"/>
  <c r="L19" i="6" l="1"/>
  <c r="A18" i="6"/>
  <c r="L20" i="6" l="1"/>
  <c r="A19" i="6"/>
  <c r="L21" i="6" l="1"/>
  <c r="A20" i="6"/>
  <c r="L22" i="6" l="1"/>
  <c r="A21" i="6"/>
  <c r="A22" i="6" l="1"/>
  <c r="L23" i="6"/>
  <c r="A23" i="6" l="1"/>
  <c r="L24" i="6"/>
  <c r="A24" i="6" l="1"/>
  <c r="L25" i="6"/>
  <c r="A25" i="6" l="1"/>
  <c r="L26" i="6"/>
  <c r="A26" i="6" l="1"/>
  <c r="L27" i="6"/>
  <c r="A27" i="6" l="1"/>
  <c r="L28" i="6"/>
  <c r="A28" i="6" l="1"/>
  <c r="L29" i="6"/>
  <c r="A29" i="6" l="1"/>
  <c r="L30" i="6"/>
  <c r="L31" i="6" l="1"/>
  <c r="A30" i="6"/>
  <c r="L32" i="6" l="1"/>
  <c r="A31" i="6"/>
  <c r="L33" i="6" l="1"/>
  <c r="A32" i="6"/>
  <c r="L34" i="6" l="1"/>
  <c r="A33" i="6"/>
  <c r="L35" i="6" l="1"/>
  <c r="A34" i="6"/>
  <c r="A35" i="6" l="1"/>
  <c r="L36" i="6"/>
  <c r="A36" i="6" l="1"/>
  <c r="L37" i="6"/>
  <c r="A37" i="6" l="1"/>
  <c r="L38" i="6"/>
  <c r="A38" i="6" l="1"/>
  <c r="L39" i="6"/>
  <c r="A39" i="6" l="1"/>
  <c r="L40" i="6"/>
  <c r="L41" i="6" l="1"/>
  <c r="A40" i="6"/>
  <c r="A41" i="6" l="1"/>
  <c r="L42" i="6"/>
  <c r="L43" i="6" l="1"/>
  <c r="A42" i="6"/>
  <c r="L44" i="6" l="1"/>
  <c r="A43" i="6"/>
  <c r="L45" i="6" l="1"/>
  <c r="A44" i="6"/>
  <c r="L46" i="6" l="1"/>
  <c r="A45" i="6"/>
  <c r="L47" i="6" l="1"/>
  <c r="A46" i="6"/>
  <c r="L48" i="6" l="1"/>
  <c r="A47" i="6"/>
  <c r="L49" i="6" l="1"/>
  <c r="A48" i="6"/>
  <c r="A49" i="6" l="1"/>
  <c r="L50" i="6"/>
  <c r="A50" i="6" l="1"/>
  <c r="L51" i="6"/>
  <c r="A51" i="6" l="1"/>
  <c r="L52" i="6"/>
  <c r="L53" i="6" l="1"/>
  <c r="A52" i="6"/>
  <c r="A53" i="6" l="1"/>
  <c r="L54" i="6"/>
  <c r="L55" i="6" l="1"/>
  <c r="A54" i="6"/>
  <c r="A55" i="6" l="1"/>
  <c r="L56" i="6"/>
  <c r="L57" i="6" l="1"/>
  <c r="A56" i="6"/>
  <c r="L58" i="6" l="1"/>
  <c r="A57" i="6"/>
  <c r="A58" i="6" l="1"/>
  <c r="L59" i="6"/>
  <c r="A59" i="6" l="1"/>
  <c r="L60" i="6"/>
  <c r="L61" i="6" l="1"/>
  <c r="A60" i="6"/>
  <c r="A61" i="6" l="1"/>
  <c r="L62" i="6"/>
  <c r="A62" i="6" l="1"/>
  <c r="L63" i="6"/>
  <c r="A63" i="6" l="1"/>
  <c r="L64" i="6"/>
  <c r="L65" i="6" l="1"/>
  <c r="A64" i="6"/>
  <c r="A65" i="6" l="1"/>
  <c r="L66" i="6"/>
  <c r="L67" i="6" l="1"/>
  <c r="A66" i="6"/>
  <c r="L68" i="6" l="1"/>
  <c r="A67" i="6"/>
  <c r="L69" i="6" l="1"/>
  <c r="A68" i="6"/>
  <c r="L70" i="6" l="1"/>
  <c r="A69" i="6"/>
  <c r="A70" i="6" l="1"/>
  <c r="L71" i="6"/>
  <c r="L72" i="6" l="1"/>
  <c r="A71" i="6"/>
  <c r="A72" i="6" l="1"/>
  <c r="L73" i="6"/>
  <c r="A73" i="6" l="1"/>
  <c r="L74" i="6"/>
  <c r="L75" i="6" l="1"/>
  <c r="A74" i="6"/>
  <c r="A75" i="6" l="1"/>
  <c r="L76" i="6"/>
  <c r="L77" i="6" l="1"/>
  <c r="A76" i="6"/>
  <c r="L78" i="6" l="1"/>
  <c r="A77" i="6"/>
  <c r="L79" i="6" l="1"/>
  <c r="A78" i="6"/>
  <c r="L80" i="6" l="1"/>
  <c r="A79" i="6"/>
  <c r="A80" i="6" l="1"/>
  <c r="L81" i="6"/>
  <c r="A81" i="6" l="1"/>
  <c r="L82" i="6"/>
  <c r="A82" i="6" l="1"/>
  <c r="L83" i="6"/>
  <c r="L84" i="6" l="1"/>
  <c r="A83" i="6"/>
  <c r="L85" i="6" l="1"/>
  <c r="A84" i="6"/>
  <c r="L86" i="6" l="1"/>
  <c r="A85" i="6"/>
  <c r="L87" i="6" l="1"/>
  <c r="A86" i="6"/>
  <c r="L88" i="6" l="1"/>
  <c r="A87" i="6"/>
  <c r="L89" i="6" l="1"/>
  <c r="A88" i="6"/>
  <c r="L90" i="6" l="1"/>
  <c r="A89" i="6"/>
  <c r="A90" i="6" l="1"/>
  <c r="L91" i="6"/>
  <c r="L92" i="6" l="1"/>
  <c r="A91" i="6"/>
  <c r="A92" i="6" l="1"/>
  <c r="L93" i="6"/>
  <c r="A93" i="6" l="1"/>
  <c r="L94" i="6"/>
  <c r="L95" i="6" l="1"/>
  <c r="A94" i="6"/>
  <c r="L96" i="6" l="1"/>
  <c r="A95" i="6"/>
  <c r="L97" i="6" l="1"/>
  <c r="A96" i="6"/>
  <c r="L98" i="6" l="1"/>
  <c r="A97" i="6"/>
  <c r="L99" i="6" l="1"/>
  <c r="A98" i="6"/>
  <c r="L100" i="6" l="1"/>
  <c r="A99" i="6"/>
  <c r="L101" i="6" l="1"/>
  <c r="A100" i="6"/>
  <c r="L102" i="6" l="1"/>
  <c r="A101" i="6"/>
  <c r="L103" i="6" l="1"/>
  <c r="A102" i="6"/>
  <c r="A103" i="6" l="1"/>
  <c r="L104" i="6"/>
  <c r="A104" i="6" l="1"/>
  <c r="L105" i="6"/>
  <c r="A105" i="6" l="1"/>
  <c r="L106" i="6"/>
  <c r="A106" i="6" l="1"/>
  <c r="L107" i="6"/>
  <c r="L108" i="6" l="1"/>
  <c r="A107" i="6"/>
  <c r="A108" i="6" l="1"/>
  <c r="L109" i="6"/>
  <c r="L110" i="6" l="1"/>
  <c r="A109" i="6"/>
  <c r="L111" i="6" l="1"/>
  <c r="A110" i="6"/>
  <c r="A111" i="6" l="1"/>
  <c r="L112" i="6"/>
  <c r="L113" i="6" l="1"/>
  <c r="A113" i="6" s="1"/>
  <c r="A11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Jason Edwards</author>
  </authors>
  <commentList>
    <comment ref="A24" authorId="0" shapeId="0" xr:uid="{00000000-0006-0000-0E00-000001000000}">
      <text>
        <r>
          <rPr>
            <b/>
            <sz val="8"/>
            <color indexed="81"/>
            <rFont val="Tahoma"/>
            <family val="2"/>
          </rPr>
          <t>Jason Edwards:</t>
        </r>
        <r>
          <rPr>
            <sz val="8"/>
            <color indexed="81"/>
            <rFont val="Tahoma"/>
            <family val="2"/>
          </rPr>
          <t xml:space="preserve">
This Blank Line Must not be deleted as it is used by the code to find the end of the Relays
- DO NOT DELETE</t>
        </r>
      </text>
    </comment>
    <comment ref="A25" authorId="0" shapeId="0" xr:uid="{00000000-0006-0000-0E00-000002000000}">
      <text>
        <r>
          <rPr>
            <b/>
            <sz val="8"/>
            <color indexed="81"/>
            <rFont val="Tahoma"/>
            <family val="2"/>
          </rPr>
          <t>Jason Edwards:</t>
        </r>
        <r>
          <rPr>
            <sz val="8"/>
            <color indexed="81"/>
            <rFont val="Tahoma"/>
            <family val="2"/>
          </rPr>
          <t xml:space="preserve">
DO NOT DELETE THIS ROW</t>
        </r>
      </text>
    </comment>
  </commentList>
</comments>
</file>

<file path=xl/sharedStrings.xml><?xml version="1.0" encoding="utf-8"?>
<sst xmlns="http://schemas.openxmlformats.org/spreadsheetml/2006/main" count="1231" uniqueCount="267">
  <si>
    <t>Relay Type</t>
  </si>
  <si>
    <t>Nulec CAPM2</t>
  </si>
  <si>
    <t>CT Ratio</t>
  </si>
  <si>
    <t>to</t>
  </si>
  <si>
    <t>Primary Current Setting</t>
  </si>
  <si>
    <t>Secondary Current Setting</t>
  </si>
  <si>
    <t>Time Multiplier (Lever)</t>
  </si>
  <si>
    <t>Relay 1</t>
  </si>
  <si>
    <t>Relay 2</t>
  </si>
  <si>
    <t>Relay 3</t>
  </si>
  <si>
    <t>Relay 4</t>
  </si>
  <si>
    <t>Relay 5</t>
  </si>
  <si>
    <t>Current (A)</t>
  </si>
  <si>
    <t>A</t>
  </si>
  <si>
    <t>(none)</t>
  </si>
  <si>
    <t>SI</t>
  </si>
  <si>
    <t>VI</t>
  </si>
  <si>
    <t>EI</t>
  </si>
  <si>
    <t>Curve Type</t>
  </si>
  <si>
    <t>Custom</t>
  </si>
  <si>
    <t>LI</t>
  </si>
  <si>
    <t>8Tmin</t>
  </si>
  <si>
    <t>8Tmax</t>
  </si>
  <si>
    <t>s</t>
  </si>
  <si>
    <t>x</t>
  </si>
  <si>
    <t>Fault 1</t>
  </si>
  <si>
    <t>Description</t>
  </si>
  <si>
    <t>Current</t>
  </si>
  <si>
    <t>Fault 2</t>
  </si>
  <si>
    <t>Fault 3</t>
  </si>
  <si>
    <t>Fault 4</t>
  </si>
  <si>
    <t>Fault 5</t>
  </si>
  <si>
    <t>Fault 6</t>
  </si>
  <si>
    <t>Fault 7</t>
  </si>
  <si>
    <t>Fault 8</t>
  </si>
  <si>
    <t>Fault 9</t>
  </si>
  <si>
    <t>Fault 10</t>
  </si>
  <si>
    <t>Substation/Feeder :</t>
  </si>
  <si>
    <t>Definite Time Setting</t>
  </si>
  <si>
    <t>Relay Saturates at</t>
  </si>
  <si>
    <t>25Kmin</t>
  </si>
  <si>
    <t>25Kmax</t>
  </si>
  <si>
    <t>40Kmin</t>
  </si>
  <si>
    <t>40Kmax</t>
  </si>
  <si>
    <t>20Kmax</t>
  </si>
  <si>
    <t>20Kmin</t>
  </si>
  <si>
    <t>Instantaneous Current</t>
  </si>
  <si>
    <t>kV</t>
  </si>
  <si>
    <t>Reference Voltage :</t>
  </si>
  <si>
    <t>Grading Times</t>
  </si>
  <si>
    <t>Operating Designation</t>
  </si>
  <si>
    <t>Operating Voltage</t>
  </si>
  <si>
    <t>Effective Settings</t>
  </si>
  <si>
    <t>Graph Starting Current :</t>
  </si>
  <si>
    <t>CDG11</t>
  </si>
  <si>
    <t>KCEG</t>
  </si>
  <si>
    <t>KCGG</t>
  </si>
  <si>
    <t>Microtrip</t>
  </si>
  <si>
    <t>Faults</t>
  </si>
  <si>
    <t>Relays</t>
  </si>
  <si>
    <t>Curve Types</t>
  </si>
  <si>
    <t>Time</t>
  </si>
  <si>
    <t>CalcsColumn</t>
  </si>
  <si>
    <t>Finish Curve at</t>
  </si>
  <si>
    <t>Fault10</t>
  </si>
  <si>
    <t>Relay 6</t>
  </si>
  <si>
    <t>Relay 7</t>
  </si>
  <si>
    <t>Relay 8</t>
  </si>
  <si>
    <t>Relay 9</t>
  </si>
  <si>
    <t>Relay 10</t>
  </si>
  <si>
    <t>65Tmax</t>
  </si>
  <si>
    <t>Min Operating Time (s)</t>
  </si>
  <si>
    <t>Version</t>
  </si>
  <si>
    <t>2.0.5</t>
  </si>
  <si>
    <t>Implemented EI curve</t>
  </si>
  <si>
    <t>Include in Legend --&gt;</t>
  </si>
  <si>
    <t>2.1.0</t>
  </si>
  <si>
    <t>Operating Designation for each relay now becomes sheet name and legend text.  Additonal legend text option boxes introduced. Bug with instantaneous setting fixed. Thumnail of chart added to each relay setting sheet to allow preview of changes made</t>
  </si>
  <si>
    <t>2.1.1</t>
  </si>
  <si>
    <t>Date</t>
  </si>
  <si>
    <t>Setting Status</t>
  </si>
  <si>
    <t>Existing</t>
  </si>
  <si>
    <t>Required</t>
  </si>
  <si>
    <r>
      <t>Bug Fixes</t>
    </r>
    <r>
      <rPr>
        <sz val="10"/>
        <rFont val="Arial"/>
      </rPr>
      <t xml:space="preserve">
Unlocked cell E13 on Sheet1 to allow inclusion of Instantaneous value on Legend.
Reset the source data x and y values to the default for all series. (saved master with trashy ranges causing relays 4 to 10 to crash).
Added refresh of RelayNames() array in Worksheet Change subroutine to update array more often. This should hlep to keep the program functioning after a small error is encountered (previously wiped names and then ceased to function) - not fully bug tested.
Added check for instantaneous setting on other relays prior to copying cells in calcs sheet to create vertical lines.  Multiple relays can now be given the same instananeous setting without graphing errors.
Fixed series ranges in Thumbnails.  Now all thumbnails ranges are set and cleared at the same time as the main chart, thereby displaying the chart correctly.
</t>
    </r>
    <r>
      <rPr>
        <u/>
        <sz val="10"/>
        <rFont val="Arial"/>
        <family val="2"/>
      </rPr>
      <t>New Features</t>
    </r>
    <r>
      <rPr>
        <sz val="10"/>
        <rFont val="Arial"/>
      </rPr>
      <t xml:space="preserve">
Added "Existing\Required" combo, and entry to legend and print sheet.
</t>
    </r>
  </si>
  <si>
    <t>50Kmin</t>
  </si>
  <si>
    <t>50Kmax</t>
  </si>
  <si>
    <t>50AKEBXO</t>
  </si>
  <si>
    <t>65N</t>
  </si>
  <si>
    <t>65Kmax</t>
  </si>
  <si>
    <t>SPAJ140C</t>
  </si>
  <si>
    <t>750_63A_Air</t>
  </si>
  <si>
    <t>1000_80A_Oil</t>
  </si>
  <si>
    <t>500_40A_Air</t>
  </si>
  <si>
    <t>Argus 1</t>
  </si>
  <si>
    <t>Argus 2</t>
  </si>
  <si>
    <t>CDG66</t>
  </si>
  <si>
    <t>PBO</t>
  </si>
  <si>
    <t>SEL351-1</t>
  </si>
  <si>
    <t>SEL351-6</t>
  </si>
  <si>
    <t>CDG31</t>
  </si>
  <si>
    <t>NilStat</t>
  </si>
  <si>
    <t>500_50A_Oil</t>
  </si>
  <si>
    <t>750_63A_Oil</t>
  </si>
  <si>
    <t>300_40_Oil</t>
  </si>
  <si>
    <t>300_35.5A_Air</t>
  </si>
  <si>
    <t>80KMax</t>
  </si>
  <si>
    <t>15TMax</t>
  </si>
  <si>
    <t>15TMin</t>
  </si>
  <si>
    <t>WHCO7</t>
  </si>
  <si>
    <t>WHC07</t>
  </si>
  <si>
    <t>Fault7</t>
  </si>
  <si>
    <t>Fault8</t>
  </si>
  <si>
    <t>Fault9</t>
  </si>
  <si>
    <t>Fault 11</t>
  </si>
  <si>
    <t>Fault 12</t>
  </si>
  <si>
    <t>Fault 13</t>
  </si>
  <si>
    <t>Fault 14</t>
  </si>
  <si>
    <t>Fault 15</t>
  </si>
  <si>
    <t>Fault 16</t>
  </si>
  <si>
    <t>Fault 17</t>
  </si>
  <si>
    <t>Fault 18</t>
  </si>
  <si>
    <t>Fault 19</t>
  </si>
  <si>
    <t>Fault 20</t>
  </si>
  <si>
    <t>Colour</t>
  </si>
  <si>
    <t>Red</t>
  </si>
  <si>
    <t>Orange</t>
  </si>
  <si>
    <t>Dark Green</t>
  </si>
  <si>
    <t>Green</t>
  </si>
  <si>
    <t>Dark Blue</t>
  </si>
  <si>
    <t>Blue</t>
  </si>
  <si>
    <t>Purple</t>
  </si>
  <si>
    <t>Black</t>
  </si>
  <si>
    <t>Maroon</t>
  </si>
  <si>
    <t>Brown</t>
  </si>
  <si>
    <t>Grey</t>
  </si>
  <si>
    <t>sec</t>
  </si>
  <si>
    <t>Fault11</t>
  </si>
  <si>
    <t>Fault12</t>
  </si>
  <si>
    <t>Fault13</t>
  </si>
  <si>
    <t>Fault14</t>
  </si>
  <si>
    <t>Fault15</t>
  </si>
  <si>
    <t>Fault16</t>
  </si>
  <si>
    <t>Fault17</t>
  </si>
  <si>
    <t>Fault18</t>
  </si>
  <si>
    <t>Fault19</t>
  </si>
  <si>
    <t>Fault20</t>
  </si>
  <si>
    <t>Grading</t>
  </si>
  <si>
    <t>2005</t>
  </si>
  <si>
    <t>Some minor ammendments by Andrew Senini</t>
  </si>
  <si>
    <t>3.0</t>
  </si>
  <si>
    <t>By</t>
  </si>
  <si>
    <t>Jason Edwards</t>
  </si>
  <si>
    <t>2TJM10</t>
  </si>
  <si>
    <t>Max</t>
  </si>
  <si>
    <t>Min</t>
  </si>
  <si>
    <t>Step</t>
  </si>
  <si>
    <t>Sat</t>
  </si>
  <si>
    <t>XWS250NJmin</t>
  </si>
  <si>
    <t>XWS250NJmax</t>
  </si>
  <si>
    <t>EFMin</t>
  </si>
  <si>
    <t>EFMax</t>
  </si>
  <si>
    <t>EFStep</t>
  </si>
  <si>
    <t>3.0.1</t>
  </si>
  <si>
    <t>Minor Bug Fixes
1. Chart Legend - Required/Existing was not changing - fixed
2. Chart Legend - Line still showing when no relay selected - fixed (also now hides label)
3. Faults - Line changed to thin
4. Faults - Added Fault description to label</t>
  </si>
  <si>
    <r>
      <t>Major Upgrade</t>
    </r>
    <r>
      <rPr>
        <sz val="10"/>
        <rFont val="Arial"/>
      </rPr>
      <t xml:space="preserve">
1. Instantaneous Time displayed in Legend of Grading Curves Sheet
2. Method of inserting Instantaneous setting modified to add additional points (rather than overwrite existing ones).  The added points for the Instantaneous setting is not restricted to the default current points ie can be any value.
3. Reference Voltage displayed on Grading Curves sheet
4. User selection of colour for each Relay and Fault implemented
5. Grading routine upgraded as follows
---- Operating time (at selected Fault) is now displayed for each relay
---- The two relays are now measured at independent Fault levels, allowing for situations where different fault levels must be graded.
6. 20 Faults Implemented (previously 10)
7. Finish Curve at specified time implemented
8. "Add" and "Edit" Relay buttons added. Code to automatically add Custom Curves to the dropdown, therefore the "List" worksheet is now hidden (no longer needed to be edited by the user)
9. Time Multiplier value checked against relay specific values in the "List" worksheet.
10. Relay Saturation Multiple entered automatically (from relay specific values in the "List" worksheet) when relay selected.
11. Bug Fix - Some "Integer" variables changed to "Long" to allow values over 34,000 eg 40 kA faults
12. Secondary Current display rounded to 2 decimals
</t>
    </r>
  </si>
  <si>
    <t>3.0.2</t>
  </si>
  <si>
    <t>Bug Fix - reference to 'Calcs' row 108 in Grading Subroutine changed to Xpoints+1 as the number of rows is now dynamic (see upgrade 2 of V3.0)</t>
  </si>
  <si>
    <t>3.0.3</t>
  </si>
  <si>
    <t>Fuse KEMXO 120A oil fuse added</t>
  </si>
  <si>
    <t>Chris Kunde</t>
  </si>
  <si>
    <t>Nulec CAPM5,4</t>
  </si>
  <si>
    <t>1500_120A_oil</t>
  </si>
  <si>
    <t>1500_100A_Air</t>
  </si>
  <si>
    <t>3.0.4</t>
  </si>
  <si>
    <t>Stan Skubis</t>
  </si>
  <si>
    <t>3.0.5</t>
  </si>
  <si>
    <t>Fuse SIBA 100 A air RMU fuse added</t>
  </si>
  <si>
    <t>David Kerven</t>
  </si>
  <si>
    <t>CAPM5 Saturate Changed from 20x to 30x and fixed broken spreadsheet from Stans Ammendment.  1000_90A_Oil Fuse Removed</t>
  </si>
  <si>
    <t>New</t>
  </si>
  <si>
    <t>3.0.6</t>
  </si>
  <si>
    <t xml:space="preserve">Added "New" to Setting Status for relays </t>
  </si>
  <si>
    <t>Lachlan Hinchliffe</t>
  </si>
  <si>
    <t>3.0.7</t>
  </si>
  <si>
    <t>Fault dropdown list extended for 20 faults on Relay 2 to Relay 10</t>
  </si>
  <si>
    <t>Sheikh Saheem</t>
  </si>
  <si>
    <t>Updated the "Print" sheet so that it correctly matches the relay pages</t>
  </si>
  <si>
    <t>Neil Forbes</t>
  </si>
  <si>
    <t>3.0.8</t>
  </si>
  <si>
    <t>3.1.0</t>
  </si>
  <si>
    <t>Changed the grading code so that it uses the curve formulas rather than the interpolated values from the graph</t>
  </si>
  <si>
    <t>P123</t>
  </si>
  <si>
    <t>SEL351A</t>
  </si>
  <si>
    <t>3.1.1</t>
  </si>
  <si>
    <t>Michael Liang</t>
  </si>
  <si>
    <t>P123 minimum OC range corrected from 0.1 to 0.025</t>
  </si>
  <si>
    <t>1500 air ins 100A SIBA Max</t>
  </si>
  <si>
    <t/>
  </si>
  <si>
    <t>1500 air ins 100A SIBA Min</t>
  </si>
  <si>
    <t>3.1.2</t>
  </si>
  <si>
    <t>Added in the SIBA 100A fuse for 1500kVA air cooled transformers</t>
  </si>
  <si>
    <t>Jon Chester</t>
  </si>
  <si>
    <t>3.2.0</t>
  </si>
  <si>
    <t>Cameron Palmer/Aurecon</t>
  </si>
  <si>
    <t>Updated to be compatible with office 2010. Added the ability to set hi-set after saturation for relays. Thickened fault lines</t>
  </si>
  <si>
    <t>NOJA</t>
  </si>
  <si>
    <t>3.3.0</t>
  </si>
  <si>
    <t>Derek Mak/Aurecon</t>
  </si>
  <si>
    <t>1000_80A_Air</t>
  </si>
  <si>
    <t>Yellow</t>
  </si>
  <si>
    <t>Lilac</t>
  </si>
  <si>
    <t>Gold</t>
  </si>
  <si>
    <t>Names</t>
  </si>
  <si>
    <t>Light Orange</t>
  </si>
  <si>
    <t xml:space="preserve"> </t>
  </si>
  <si>
    <t>2nd Highset</t>
  </si>
  <si>
    <t>Min Operating Time</t>
  </si>
  <si>
    <t>Existing Settings:</t>
  </si>
  <si>
    <t>Added:
Check/Verification Print
Template for SEF
80A fuse for 1000kVA air cooled transformers
Template for feeder information
Template for back up on feeders fed by two transformers with check trip
Four more colours for relays and faults.
2nd Instantaneous curves and grading functionality.  2nd Instantaneous Setting will operate only when set at a higher current and faster time than the 1st setting.
OCCKT + 240ms curves and grading functionality for SI, VI, EI and LI.
Template for Existing Settings textbox which is populated by corresponding cells.  To use copy and paste onto "Grading Curves".  NOTE: Once pasted onto "Grading Curves, the textbox will no longer update due to changes in the Relay sheets
Changed:
Light Green colour so that it can be differentiated from Dark Green when printed.</t>
  </si>
  <si>
    <t>Previous Relay Store</t>
  </si>
  <si>
    <t>3.3.1</t>
  </si>
  <si>
    <t>Hiset Over Saturation</t>
  </si>
  <si>
    <t>2nd Hiset</t>
  </si>
  <si>
    <t>1st Hiset</t>
  </si>
  <si>
    <t>Constant Saturation</t>
  </si>
  <si>
    <t>CONSTANT</t>
  </si>
  <si>
    <t>Added code so that switching between relays will keep curve type.  When switching between relays and fuses and vice versa, curve type will default to Custom.  Switching to and from (none) will also default curve type to Custom.
Fixed bug where grading times for fault currents past the relay saturation ignored instantaneous settings.
Added properties to each relay which determines whether it has 1st and 2nd high set capabilities, can operate high sets above saturation, and constant saturation currents.  Currently relays are by default set to disable 1st and 2nd high set until changed manually in "List".  Relays that have been set to be able to operate 1st high set above saturation is also assumed to be able to operate 2nd high set above saturation.  Invalid parameters will not be calculated by the sheet but the parameters will not be removed until the user has deleted them.
Relay specific changes:
NOJA relays have their saturation fixed at 6000A.
1st, 2nd High Set and Hiset over saturation properties that have been checked and confirmed against manuals have been bolded.
Added functionality to curves and grading which reflect the new relay properties (ie. operate high sets above its saturation, 1st and 2nd high set).</t>
  </si>
  <si>
    <t>Lowset</t>
  </si>
  <si>
    <t>Lowset Operating Time</t>
  </si>
  <si>
    <t>Lowset Operating Time (s)</t>
  </si>
  <si>
    <t>3.3.2</t>
  </si>
  <si>
    <t>Added Lowset property to relays.  The property enables grading and drawing of a Lowset when enabled.  The property can be modified in "List" or through the "Edit" button.
Added Lowset functionality.  Inputting a Lowset operating time will draw and grade based on the time given.  The pickup is assumed to be the primary setting.  The grading time is determined by the fastest part of the curve (eg. If the Lowset will operate prior to the IDMT curve, then the grading time will be based on the lowset.  If the IDMT curve will operate prior to the Lowset, then the grading time will be based on the IDMT curve).
Added functionality to Add Relay and Edit Relay to set relay properties for 1st Highset, 2nd Highset, Highset Over Saturation,  Saturation at Constant Current and Lowset.  The user will be prompted to input the Saturation at Constant Current when Saturation multiplier is filled in as "CONSTANT".  Entering any value that is not a number nor "CONSTANT" may result errors.  2nd Highset and Highset Over Saturation will only be asked if 1st Highset is TRUE.  For ease of use, 1st Highset, 2nd Highset and Highset Over Saturation messages boxes can be filled with TRUE/True/true.
Added Track Device functionality for faults.  By selecting a device next to a fault in the "Faults" sheet, the fault time will automatically be adjusted to the clearing time by that device.
Bug Fix:
Saturation multiplier not being set when using Add Relay functionality fixed.
Efficiency:
Removed redundant code.</t>
  </si>
  <si>
    <t>Lowset Current</t>
  </si>
  <si>
    <t>3.3.3</t>
  </si>
  <si>
    <t>Added Lowset Current Setting functionality.  The Lowset will occur at the current setting for currents lower, higher and equal to the primary pickup.  Grading and Track Device functionality has been modified to allow for the change.
Fixes:
Restored some previously deleted plot points for both relays and custom curves.
Restored some trip times for the restored currents on relevant fuses.</t>
  </si>
  <si>
    <t>3.3.4</t>
  </si>
  <si>
    <t>15Kmax</t>
  </si>
  <si>
    <t>Added PickUp Check functionality.  A warning will display when a primary setting is less than 10% of CT Primary.  The message box is disabled when Check Pickup or Pickup Confirmed are checked.  Having Check Pickup checked will also display a reminder next to the relay number (above the relay selection drop down box).
Fixed bug where the Lowset time was inaccurately shown in the legend.
15Kmax fuse added (17/12/2012)
Added CT Ratio to Existing Settings text box (11/03/2013)</t>
  </si>
  <si>
    <t>Fault6</t>
  </si>
  <si>
    <t>Fault5</t>
  </si>
  <si>
    <t>3.3.5</t>
  </si>
  <si>
    <t>SilvEur_36SWG_3000/5</t>
  </si>
  <si>
    <t>SilvEur_36SWG_2000/5</t>
  </si>
  <si>
    <t>Added in Silver Eureka 36 SWG Fuse curves (@11kV) for CT ratios of 3000A/5A and 2000A/5A (originally added to v3.1.3 at the same time Aurecon produced v3.2.0)
Added curves for VIP30 relay for 140A, 170A and 200A OC setting</t>
  </si>
  <si>
    <t>D.Dwyer, B.Boyd
J.Houghton</t>
  </si>
  <si>
    <t>VIP30_140A</t>
  </si>
  <si>
    <t>VIP30_170A</t>
  </si>
  <si>
    <t>VIP30_200A</t>
  </si>
  <si>
    <t>Fault2</t>
  </si>
  <si>
    <t>Fault3</t>
  </si>
  <si>
    <t>Fault4</t>
  </si>
  <si>
    <t>Fault1</t>
  </si>
  <si>
    <t>P142</t>
  </si>
  <si>
    <t>P643</t>
  </si>
  <si>
    <t>3.3.6</t>
  </si>
  <si>
    <t>Added P142 and P643 relays.</t>
  </si>
  <si>
    <t>Sanjay Narayan</t>
  </si>
  <si>
    <t>Relay 6 - (none)_x000D_11 kV_x000D_CT = 400:5_x000D_ 0 A / 0 A_x000D_Custom_x000D_(Existing)_x000D_</t>
  </si>
  <si>
    <t>Relay 7 - (none)_x000D_11 kV_x000D_CT = 400:5_x000D_ 0 A / 0 A_x000D_Custom_x000D_(Existing)_x000D_</t>
  </si>
  <si>
    <t>Relay 8 - (none)_x000D_11 kV_x000D_CT = 400:5_x000D_ 0 A / 0 A_x000D_Custom_x000D_(Existing)_x000D_</t>
  </si>
  <si>
    <t>Relay 9 - (none)_x000D_11 kV_x000D_CT = 400:5_x000D_100 A / 1.25 A_x000D_Custom_x000D_(Existing)_x000D_</t>
  </si>
  <si>
    <t>Relay 10 - (none)_x000D_11 kV_x000D_CT = 400:5_x000D_ 0 A / 0 A_x000D_Custom_x000D_(Existing)_x000D_</t>
  </si>
  <si>
    <t>Relay 3 - (none)_x000D_11 kV_x000D_CT = 400:5_x000D_200 A / 2.5 A_x000D_SI, 0.1TM_x000D_Inst = 1300 A, 0.1 s_x000D_(Existing)_x000D_</t>
  </si>
  <si>
    <t>Relay 4 - P123_x000D_11 kV_x000D_CT = 400:5_x000D_300 A / 3.75 A_x000D_SI_x000D_Inst = 2210 A, 0.45 s_x000D_(Existing)_x000D_</t>
  </si>
  <si>
    <t>Relay 5 - (none)_x000D_11 kV_x000D_CT = 400:5_x000D_200 A / 2.5 A_x000D_Custom, 0.2TM_x000D_Inst = 1500 A, 0.15 s_x000D_(Existing)_x000D_</t>
  </si>
  <si>
    <t>Relay 2 - (none)_x000D_11 kV_x000D_CT = 400:5_x000D_300 A / 3.75 A_x000D_Custom, 0.15TM_x000D_Inst = 1950 A, 0.7 s_x000D_(Existing)_x000D_</t>
  </si>
  <si>
    <t>Relay 1 - (none)_x000D_11 kV_x000D_CT = 400:5_x000D_200 A / 2.5 A_x000D_Custom, 0.1TM_x000D_(Existing)_x000D_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</si>
</sst>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eneral;;"/>
  </numFmts>
  <fonts count="16" x14ac:knownFonts="1">
    <font>
      <sz val="10"/>
      <name val="Arial"/>
    </font>
    <font>
      <b/>
      <sz val="10"/>
      <name val="Arial"/>
      <family val="2"/>
    </font>
    <font>
      <b/>
      <sz val="12"/>
      <name val="Arial"/>
      <family val="2"/>
    </font>
    <font>
      <sz val="10"/>
      <name val="Arial"/>
      <family val="2"/>
    </font>
    <font>
      <sz val="8"/>
      <name val="Arial"/>
      <family val="2"/>
    </font>
    <font>
      <u/>
      <sz val="10"/>
      <name val="Arial"/>
      <family val="2"/>
    </font>
    <font>
      <sz val="10"/>
      <color indexed="9"/>
      <name val="Arial"/>
      <family val="2"/>
    </font>
    <font>
      <b/>
      <sz val="8"/>
      <name val="Arial"/>
      <family val="2"/>
    </font>
    <font>
      <sz val="8"/>
      <name val="Arial"/>
      <family val="2"/>
    </font>
    <font>
      <sz val="8"/>
      <color indexed="81"/>
      <name val="Tahoma"/>
      <family val="2"/>
    </font>
    <font>
      <b/>
      <sz val="8"/>
      <color indexed="81"/>
      <name val="Tahoma"/>
      <family val="2"/>
    </font>
    <font>
      <sz val="16"/>
      <name val="Arial"/>
      <family val="2"/>
    </font>
    <font>
      <sz val="10"/>
      <color indexed="9"/>
      <name val="Arial"/>
      <family val="2"/>
    </font>
    <font>
      <sz val="8"/>
      <color rgb="FF000000"/>
      <name val="Tahoma"/>
      <family val="2"/>
    </font>
    <font>
      <sz val="10"/>
      <color rgb="FF000000"/>
      <name val="Arial"/>
      <family val="2"/>
    </font>
    <font>
      <sz val="8"/>
      <color rgb="FF000000"/>
      <name val="Arial"/>
      <family val="2"/>
    </font>
  </fonts>
  <fills count="18">
    <fill>
      <patternFill patternType="none"/>
    </fill>
    <fill>
      <patternFill patternType="gray125"/>
    </fill>
    <fill>
      <patternFill patternType="solid">
        <fgColor indexed="26"/>
        <bgColor indexed="64"/>
      </patternFill>
    </fill>
    <fill>
      <patternFill patternType="solid">
        <fgColor indexed="10"/>
        <bgColor indexed="64"/>
      </patternFill>
    </fill>
    <fill>
      <patternFill patternType="solid">
        <fgColor indexed="52"/>
        <bgColor indexed="64"/>
      </patternFill>
    </fill>
    <fill>
      <patternFill patternType="solid">
        <fgColor indexed="57"/>
        <bgColor indexed="64"/>
      </patternFill>
    </fill>
    <fill>
      <patternFill patternType="solid">
        <fgColor indexed="11"/>
        <bgColor indexed="64"/>
      </patternFill>
    </fill>
    <fill>
      <patternFill patternType="solid">
        <fgColor indexed="18"/>
        <bgColor indexed="64"/>
      </patternFill>
    </fill>
    <fill>
      <patternFill patternType="solid">
        <fgColor indexed="40"/>
        <bgColor indexed="64"/>
      </patternFill>
    </fill>
    <fill>
      <patternFill patternType="solid">
        <fgColor indexed="14"/>
        <bgColor indexed="64"/>
      </patternFill>
    </fill>
    <fill>
      <patternFill patternType="solid">
        <fgColor indexed="61"/>
        <bgColor indexed="64"/>
      </patternFill>
    </fill>
    <fill>
      <patternFill patternType="solid">
        <fgColor indexed="8"/>
        <bgColor indexed="64"/>
      </patternFill>
    </fill>
    <fill>
      <patternFill patternType="solid">
        <fgColor indexed="16"/>
        <bgColor indexed="64"/>
      </patternFill>
    </fill>
    <fill>
      <patternFill patternType="solid">
        <fgColor indexed="23"/>
        <bgColor indexed="64"/>
      </patternFill>
    </fill>
    <fill>
      <patternFill patternType="solid">
        <fgColor rgb="FFFFFF00"/>
        <bgColor indexed="64"/>
      </patternFill>
    </fill>
    <fill>
      <patternFill patternType="solid">
        <fgColor rgb="FF9999FF"/>
        <bgColor indexed="64"/>
      </patternFill>
    </fill>
    <fill>
      <patternFill patternType="solid">
        <fgColor rgb="FF808000"/>
        <bgColor indexed="64"/>
      </patternFill>
    </fill>
    <fill>
      <patternFill patternType="solid">
        <fgColor rgb="FFFFCC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cellStyleXfs>
  <cellXfs count="113">
    <xf numFmtId="0" fontId="0" fillId="0" borderId="0" xfId="0"/>
    <xf numFmtId="0" fontId="0" fillId="0" borderId="0" xfId="0" applyAlignment="1">
      <alignment horizontal="center"/>
    </xf>
    <xf numFmtId="0" fontId="1" fillId="0" borderId="0" xfId="0" applyFont="1"/>
    <xf numFmtId="0" fontId="0" fillId="0" borderId="0" xfId="0" applyAlignment="1">
      <alignment horizontal="right"/>
    </xf>
    <xf numFmtId="0" fontId="0" fillId="0" borderId="0" xfId="0" applyAlignment="1">
      <alignment horizontal="left"/>
    </xf>
    <xf numFmtId="0" fontId="1" fillId="0" borderId="0" xfId="0" applyFont="1" applyAlignment="1">
      <alignment horizontal="left"/>
    </xf>
    <xf numFmtId="0" fontId="2" fillId="0" borderId="0" xfId="0" applyFont="1" applyAlignment="1">
      <alignment horizontal="left"/>
    </xf>
    <xf numFmtId="0" fontId="0" fillId="0" borderId="1" xfId="0" applyBorder="1"/>
    <xf numFmtId="0" fontId="0" fillId="0" borderId="0" xfId="0" applyProtection="1">
      <protection locked="0"/>
    </xf>
    <xf numFmtId="0" fontId="0" fillId="2" borderId="1" xfId="0" applyFill="1" applyBorder="1" applyProtection="1">
      <protection locked="0"/>
    </xf>
    <xf numFmtId="0" fontId="0" fillId="0" borderId="1" xfId="0" applyBorder="1" applyProtection="1">
      <protection locked="0"/>
    </xf>
    <xf numFmtId="0" fontId="0" fillId="0" borderId="2" xfId="0" applyBorder="1"/>
    <xf numFmtId="2" fontId="0" fillId="0" borderId="1" xfId="0" applyNumberFormat="1" applyBorder="1"/>
    <xf numFmtId="0" fontId="2" fillId="0" borderId="0" xfId="0" applyFont="1" applyAlignment="1" applyProtection="1">
      <alignment horizontal="left"/>
      <protection locked="0"/>
    </xf>
    <xf numFmtId="0" fontId="0" fillId="0" borderId="3" xfId="0" applyBorder="1"/>
    <xf numFmtId="0" fontId="0" fillId="0" borderId="4" xfId="0" applyBorder="1"/>
    <xf numFmtId="0" fontId="0" fillId="0" borderId="5" xfId="0" applyBorder="1"/>
    <xf numFmtId="0" fontId="1" fillId="0" borderId="0" xfId="0" applyFont="1" applyAlignment="1">
      <alignment horizontal="right"/>
    </xf>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166" fontId="0" fillId="0" borderId="1" xfId="0" applyNumberFormat="1" applyBorder="1"/>
    <xf numFmtId="0" fontId="0" fillId="2" borderId="1" xfId="0" applyFill="1" applyBorder="1" applyAlignment="1" applyProtection="1">
      <alignment horizontal="right"/>
      <protection locked="0"/>
    </xf>
    <xf numFmtId="0" fontId="1" fillId="0" borderId="0" xfId="0" applyFont="1" applyProtection="1">
      <protection locked="0"/>
    </xf>
    <xf numFmtId="0" fontId="0" fillId="0" borderId="11" xfId="0" applyBorder="1" applyProtection="1">
      <protection locked="0"/>
    </xf>
    <xf numFmtId="165" fontId="0" fillId="0" borderId="1" xfId="0" applyNumberFormat="1" applyBorder="1" applyProtection="1">
      <protection locked="0"/>
    </xf>
    <xf numFmtId="0" fontId="0" fillId="0" borderId="5" xfId="0" applyBorder="1" applyProtection="1">
      <protection locked="0"/>
    </xf>
    <xf numFmtId="1" fontId="0" fillId="0" borderId="0" xfId="0" applyNumberFormat="1"/>
    <xf numFmtId="166" fontId="0" fillId="0" borderId="1" xfId="0" applyNumberFormat="1" applyBorder="1" applyProtection="1">
      <protection locked="0"/>
    </xf>
    <xf numFmtId="0" fontId="0" fillId="0" borderId="1" xfId="0" applyBorder="1" applyAlignment="1" applyProtection="1">
      <alignment horizontal="center"/>
      <protection locked="0"/>
    </xf>
    <xf numFmtId="0" fontId="0" fillId="0" borderId="7" xfId="0" applyBorder="1" applyProtection="1">
      <protection locked="0"/>
    </xf>
    <xf numFmtId="0" fontId="0" fillId="0" borderId="9" xfId="0" applyBorder="1" applyAlignment="1">
      <alignment horizontal="center"/>
    </xf>
    <xf numFmtId="0" fontId="0" fillId="0" borderId="4" xfId="0" applyBorder="1" applyAlignment="1" applyProtection="1">
      <alignment horizontal="center"/>
      <protection locked="0"/>
    </xf>
    <xf numFmtId="0" fontId="0" fillId="0" borderId="1" xfId="0" applyBorder="1" applyProtection="1">
      <protection hidden="1"/>
    </xf>
    <xf numFmtId="0" fontId="0" fillId="0" borderId="6" xfId="0" applyBorder="1" applyAlignment="1">
      <alignment horizontal="center"/>
    </xf>
    <xf numFmtId="0" fontId="0" fillId="0" borderId="7" xfId="0" applyBorder="1" applyAlignment="1" applyProtection="1">
      <alignment horizontal="center"/>
      <protection locked="0"/>
    </xf>
    <xf numFmtId="0" fontId="0" fillId="0" borderId="8" xfId="0" applyBorder="1" applyAlignment="1">
      <alignment horizontal="center"/>
    </xf>
    <xf numFmtId="0" fontId="0" fillId="0" borderId="12" xfId="0" applyBorder="1" applyProtection="1">
      <protection locked="0"/>
    </xf>
    <xf numFmtId="0" fontId="0" fillId="0" borderId="12" xfId="0" applyBorder="1"/>
    <xf numFmtId="0" fontId="0" fillId="0" borderId="6" xfId="0" applyBorder="1" applyAlignment="1" applyProtection="1">
      <alignment horizontal="center"/>
      <protection locked="0"/>
    </xf>
    <xf numFmtId="0" fontId="2" fillId="2" borderId="1" xfId="0" applyFont="1" applyFill="1" applyBorder="1" applyProtection="1">
      <protection locked="0"/>
    </xf>
    <xf numFmtId="0" fontId="6" fillId="0" borderId="0" xfId="0" applyFont="1"/>
    <xf numFmtId="0" fontId="7" fillId="0" borderId="0" xfId="0" applyFont="1" applyAlignment="1">
      <alignment horizontal="center" vertical="top" textRotation="90"/>
    </xf>
    <xf numFmtId="0" fontId="0" fillId="0" borderId="0" xfId="0" applyAlignment="1">
      <alignment vertical="top"/>
    </xf>
    <xf numFmtId="0" fontId="7" fillId="0" borderId="0" xfId="0" applyFont="1" applyAlignment="1" applyProtection="1">
      <alignment horizontal="center" vertical="top" textRotation="90"/>
      <protection locked="0"/>
    </xf>
    <xf numFmtId="14" fontId="0" fillId="0" borderId="0" xfId="0" applyNumberFormat="1" applyAlignment="1">
      <alignment vertical="top"/>
    </xf>
    <xf numFmtId="0" fontId="4" fillId="0" borderId="13" xfId="0" applyFont="1" applyBorder="1" applyAlignment="1">
      <alignment horizontal="center"/>
    </xf>
    <xf numFmtId="0" fontId="4" fillId="0" borderId="12" xfId="0" applyFont="1" applyBorder="1" applyAlignment="1">
      <alignment horizontal="center"/>
    </xf>
    <xf numFmtId="0" fontId="4" fillId="0" borderId="11" xfId="0" applyFont="1" applyBorder="1" applyAlignment="1">
      <alignment horizontal="center"/>
    </xf>
    <xf numFmtId="0" fontId="3" fillId="0" borderId="0" xfId="0" applyFont="1"/>
    <xf numFmtId="166" fontId="1" fillId="0" borderId="1" xfId="0" applyNumberFormat="1" applyFont="1" applyBorder="1" applyAlignment="1" applyProtection="1">
      <alignment horizontal="right"/>
      <protection locked="0"/>
    </xf>
    <xf numFmtId="0" fontId="4" fillId="0" borderId="0" xfId="0" applyFont="1" applyAlignment="1">
      <alignment horizontal="center"/>
    </xf>
    <xf numFmtId="0" fontId="0" fillId="0" borderId="14" xfId="0" applyBorder="1"/>
    <xf numFmtId="0" fontId="3" fillId="0" borderId="15" xfId="0" applyFont="1" applyBorder="1" applyProtection="1">
      <protection locked="0"/>
    </xf>
    <xf numFmtId="0" fontId="0" fillId="0" borderId="16" xfId="0" applyBorder="1"/>
    <xf numFmtId="0" fontId="0" fillId="0" borderId="16" xfId="0" applyBorder="1" applyAlignment="1">
      <alignment horizontal="center"/>
    </xf>
    <xf numFmtId="2" fontId="0" fillId="0" borderId="0" xfId="0" applyNumberFormat="1" applyProtection="1">
      <protection locked="0"/>
    </xf>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1" fillId="12" borderId="0" xfId="0" applyFont="1" applyFill="1"/>
    <xf numFmtId="0" fontId="0" fillId="13" borderId="0" xfId="0" applyFill="1"/>
    <xf numFmtId="1" fontId="0" fillId="0" borderId="1" xfId="0" applyNumberFormat="1" applyBorder="1"/>
    <xf numFmtId="1" fontId="0" fillId="0" borderId="1" xfId="0" applyNumberFormat="1" applyBorder="1" applyProtection="1">
      <protection locked="0"/>
    </xf>
    <xf numFmtId="0" fontId="1" fillId="0" borderId="0" xfId="0" applyFont="1" applyAlignment="1">
      <alignment horizontal="center" vertical="center"/>
    </xf>
    <xf numFmtId="0" fontId="0" fillId="0" borderId="9" xfId="0" applyBorder="1" applyProtection="1">
      <protection locked="0"/>
    </xf>
    <xf numFmtId="165" fontId="0" fillId="0" borderId="0" xfId="0" applyNumberFormat="1"/>
    <xf numFmtId="0" fontId="0" fillId="0" borderId="0" xfId="0" quotePrefix="1" applyAlignment="1">
      <alignment horizontal="right" vertical="top"/>
    </xf>
    <xf numFmtId="14" fontId="0" fillId="0" borderId="0" xfId="0" quotePrefix="1" applyNumberFormat="1" applyAlignment="1">
      <alignment horizontal="right" vertical="top"/>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xf numFmtId="0" fontId="11" fillId="0" borderId="1" xfId="0" applyFont="1" applyBorder="1" applyAlignment="1" applyProtection="1">
      <alignment horizontal="right"/>
      <protection locked="0"/>
    </xf>
    <xf numFmtId="0" fontId="11" fillId="0" borderId="1" xfId="0" applyFont="1" applyBorder="1" applyProtection="1">
      <protection locked="0"/>
    </xf>
    <xf numFmtId="0" fontId="6" fillId="0" borderId="0" xfId="0" applyFont="1" applyProtection="1">
      <protection locked="0"/>
    </xf>
    <xf numFmtId="0" fontId="0" fillId="0" borderId="17" xfId="0" applyBorder="1"/>
    <xf numFmtId="0" fontId="12" fillId="0" borderId="0" xfId="0" applyFont="1"/>
    <xf numFmtId="16" fontId="0" fillId="0" borderId="0" xfId="0" applyNumberFormat="1" applyAlignment="1">
      <alignment vertical="top"/>
    </xf>
    <xf numFmtId="0" fontId="11" fillId="0" borderId="0" xfId="0" applyFont="1" applyProtection="1">
      <protection locked="0"/>
    </xf>
    <xf numFmtId="0" fontId="3" fillId="14" borderId="0" xfId="0" applyFont="1" applyFill="1"/>
    <xf numFmtId="0" fontId="3" fillId="15" borderId="0" xfId="0" applyFont="1" applyFill="1"/>
    <xf numFmtId="0" fontId="3" fillId="16" borderId="0" xfId="0" applyFont="1" applyFill="1"/>
    <xf numFmtId="0" fontId="3" fillId="17" borderId="0" xfId="0" applyFont="1" applyFill="1"/>
    <xf numFmtId="164" fontId="3" fillId="0" borderId="0" xfId="0" applyNumberFormat="1" applyFont="1" applyAlignment="1">
      <alignment horizontal="left"/>
    </xf>
    <xf numFmtId="0" fontId="7" fillId="0" borderId="0" xfId="0" applyFont="1" applyAlignment="1">
      <alignment vertical="top" textRotation="90"/>
    </xf>
    <xf numFmtId="0" fontId="3" fillId="0" borderId="0" xfId="0" applyFont="1" applyProtection="1">
      <protection locked="0"/>
    </xf>
    <xf numFmtId="0" fontId="3" fillId="0" borderId="0" xfId="0" applyFont="1" applyAlignment="1">
      <alignment vertical="top"/>
    </xf>
    <xf numFmtId="0" fontId="3" fillId="0" borderId="1" xfId="0" applyFont="1" applyBorder="1"/>
    <xf numFmtId="0" fontId="3" fillId="2" borderId="1" xfId="0" applyFont="1" applyFill="1" applyBorder="1" applyAlignment="1" applyProtection="1">
      <alignment horizontal="right" wrapText="1"/>
      <protection locked="0"/>
    </xf>
    <xf numFmtId="14" fontId="0" fillId="0" borderId="0" xfId="0" applyNumberFormat="1" applyProtection="1">
      <protection locked="0"/>
    </xf>
    <xf numFmtId="0" fontId="3" fillId="2" borderId="1" xfId="0" applyFont="1" applyFill="1" applyBorder="1" applyAlignment="1" applyProtection="1">
      <alignment horizontal="right"/>
      <protection locked="0"/>
    </xf>
    <xf numFmtId="0" fontId="1" fillId="0" borderId="1" xfId="0" applyFont="1" applyBorder="1" applyAlignment="1">
      <alignment horizontal="center" vertical="center"/>
    </xf>
    <xf numFmtId="0" fontId="2" fillId="2" borderId="13" xfId="0" applyFont="1" applyFill="1" applyBorder="1" applyProtection="1">
      <protection locked="0"/>
    </xf>
    <xf numFmtId="0" fontId="2" fillId="2" borderId="12" xfId="0" applyFont="1" applyFill="1" applyBorder="1" applyProtection="1">
      <protection locked="0"/>
    </xf>
    <xf numFmtId="0" fontId="2" fillId="2" borderId="11" xfId="0" applyFont="1" applyFill="1" applyBorder="1" applyProtection="1">
      <protection locked="0"/>
    </xf>
    <xf numFmtId="0" fontId="0" fillId="0" borderId="1" xfId="0" applyBorder="1" applyAlignment="1">
      <alignment horizontal="center"/>
    </xf>
    <xf numFmtId="0" fontId="1" fillId="0" borderId="13" xfId="0" applyFont="1" applyBorder="1" applyAlignment="1">
      <alignment horizontal="center" vertical="center"/>
    </xf>
    <xf numFmtId="0" fontId="1" fillId="0" borderId="12" xfId="0" applyFont="1" applyBorder="1" applyAlignment="1">
      <alignment horizontal="center" vertical="center"/>
    </xf>
    <xf numFmtId="0" fontId="1" fillId="0" borderId="11" xfId="0" applyFont="1" applyBorder="1" applyAlignment="1">
      <alignment horizontal="center" vertical="center"/>
    </xf>
    <xf numFmtId="0" fontId="7" fillId="0" borderId="0" xfId="0" applyFont="1" applyAlignment="1">
      <alignment horizontal="center" vertical="top" textRotation="90"/>
    </xf>
    <xf numFmtId="0" fontId="0" fillId="0" borderId="5" xfId="0" applyBorder="1" applyAlignment="1">
      <alignment horizontal="center"/>
    </xf>
    <xf numFmtId="0" fontId="3" fillId="0" borderId="0" xfId="0" applyFont="1" applyAlignment="1">
      <alignment vertical="top" wrapText="1"/>
    </xf>
    <xf numFmtId="0" fontId="0" fillId="0" borderId="0" xfId="0"/>
    <xf numFmtId="0" fontId="0" fillId="0" borderId="0" xfId="0" applyFill="1" applyProtection="1">
      <protection locked="0"/>
    </xf>
  </cellXfs>
  <cellStyles count="1">
    <cellStyle name="Normal" xfId="0" builtinId="0"/>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ont>
        <color auto="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6.xml"/><Relationship Id="rId3" Type="http://schemas.openxmlformats.org/officeDocument/2006/relationships/chartsheet" Target="chartsheets/sheet1.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2.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attachedToolbars" Target="attachedToolbars.bin"/><Relationship Id="rId5" Type="http://schemas.openxmlformats.org/officeDocument/2006/relationships/worksheet" Target="worksheets/sheet4.xml"/><Relationship Id="rId15" Type="http://schemas.openxmlformats.org/officeDocument/2006/relationships/worksheet" Target="worksheets/sheet14.xml"/><Relationship Id="rId23" Type="http://schemas.microsoft.com/office/2006/relationships/vbaProject" Target="vbaProject.bin"/><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E-2"/>
          <c:y val="0.33907284768211921"/>
          <c:w val="0.94199999999999995"/>
          <c:h val="0.6198675496688741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B101-4E50-820F-94C48862BD78}"/>
            </c:ext>
          </c:extLst>
        </c:ser>
        <c:ser>
          <c:idx val="1"/>
          <c:order val="1"/>
          <c:tx>
            <c:strRef>
              <c:f>Calcs!$C$1</c:f>
              <c:strCache>
                <c:ptCount val="1"/>
                <c:pt idx="0">
                  <c:v>Relay 2 - (none)_x000d_11 kV_x000d_CT = 400:5_x000d_300 A / 3.75 A_x000d_Custom, 0.15TM_x000d_Inst = 1950 A, 0.7 s_x000d_(Existing)_x000d_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B101-4E50-820F-94C48862BD78}"/>
            </c:ext>
          </c:extLst>
        </c:ser>
        <c:ser>
          <c:idx val="2"/>
          <c:order val="2"/>
          <c:tx>
            <c:strRef>
              <c:f>Calcs!$D$1</c:f>
              <c:strCache>
                <c:ptCount val="1"/>
                <c:pt idx="0">
                  <c:v>Relay 3 - (none)_x000d_11 kV_x000d_CT = 400:5_x000d_200 A / 2.5 A_x000d_SI, 0.1TM_x000d_Inst = 1300 A, 0.1 s_x000d_(Existing)_x000d_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B101-4E50-820F-94C48862BD78}"/>
            </c:ext>
          </c:extLst>
        </c:ser>
        <c:ser>
          <c:idx val="3"/>
          <c:order val="3"/>
          <c:tx>
            <c:strRef>
              <c:f>Calcs!$E$1</c:f>
              <c:strCache>
                <c:ptCount val="1"/>
                <c:pt idx="0">
                  <c:v>Relay 4 - P123_x000d_11 kV_x000d_CT = 400:5_x000d_300 A / 3.75 A_x000d_SI_x000d_Inst = 2210 A, 0.45 s_x000d_(Existing)_x000d_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B101-4E50-820F-94C48862BD78}"/>
            </c:ext>
          </c:extLst>
        </c:ser>
        <c:ser>
          <c:idx val="4"/>
          <c:order val="4"/>
          <c:tx>
            <c:strRef>
              <c:f>Calcs!$F$1</c:f>
              <c:strCache>
                <c:ptCount val="1"/>
                <c:pt idx="0">
                  <c:v>Relay 5 - (none)_x000d_11 kV_x000d_CT = 400:5_x000d_200 A / 2.5 A_x000d_Custom, 0.2TM_x000d_Inst = 1500 A, 0.15 s_x000d_(Existing)_x000d_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B101-4E50-820F-94C48862BD78}"/>
            </c:ext>
          </c:extLst>
        </c:ser>
        <c:ser>
          <c:idx val="5"/>
          <c:order val="5"/>
          <c:tx>
            <c:strRef>
              <c:f>Calcs!$G$1</c:f>
              <c:strCache>
                <c:ptCount val="1"/>
                <c:pt idx="0">
                  <c:v>Relay 6 - (none)_x000d_11 kV_x000d_CT = 400:5_x000d_ 0 A / 0 A_x000d_Custom_x000d_(Existing)_x000d_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B101-4E50-820F-94C48862BD78}"/>
            </c:ext>
          </c:extLst>
        </c:ser>
        <c:ser>
          <c:idx val="6"/>
          <c:order val="6"/>
          <c:tx>
            <c:strRef>
              <c:f>Calcs!$H$1</c:f>
              <c:strCache>
                <c:ptCount val="1"/>
                <c:pt idx="0">
                  <c:v>Relay 7 - (none)_x000d_11 kV_x000d_CT = 400:5_x000d_ 0 A / 0 A_x000d_Custom_x000d_(Existing)_x000d_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B101-4E50-820F-94C48862BD78}"/>
            </c:ext>
          </c:extLst>
        </c:ser>
        <c:ser>
          <c:idx val="7"/>
          <c:order val="7"/>
          <c:tx>
            <c:strRef>
              <c:f>Calcs!$I$1</c:f>
              <c:strCache>
                <c:ptCount val="1"/>
                <c:pt idx="0">
                  <c:v>Relay 8 - (none)_x000d_11 kV_x000d_CT = 400:5_x000d_ 0 A / 0 A_x000d_Custom_x000d_(Existing)_x000d_</c:v>
                </c:pt>
              </c:strCache>
            </c:strRef>
          </c:tx>
          <c:spPr>
            <a:ln w="25400">
              <a:solidFill>
                <a:srgbClr val="FFFFFF"/>
              </a:solidFill>
              <a:prstDash val="sysDash"/>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B101-4E50-820F-94C48862BD78}"/>
            </c:ext>
          </c:extLst>
        </c:ser>
        <c:ser>
          <c:idx val="8"/>
          <c:order val="8"/>
          <c:tx>
            <c:strRef>
              <c:f>Calcs!$J$1</c:f>
              <c:strCache>
                <c:ptCount val="1"/>
                <c:pt idx="0">
                  <c:v>Relay 9 - (none)_x000d_11 kV_x000d_CT = 400:5_x000d_100 A / 1.25 A_x000d_Custom_x000d_(Existing)_x000d_</c:v>
                </c:pt>
              </c:strCache>
            </c:strRef>
          </c:tx>
          <c:spPr>
            <a:ln w="25400">
              <a:solidFill>
                <a:srgbClr val="FFFFFF"/>
              </a:solidFill>
              <a:prstDash val="solid"/>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B101-4E50-820F-94C48862BD78}"/>
            </c:ext>
          </c:extLst>
        </c:ser>
        <c:ser>
          <c:idx val="9"/>
          <c:order val="9"/>
          <c:tx>
            <c:strRef>
              <c:f>Calcs!$K$1</c:f>
              <c:strCache>
                <c:ptCount val="1"/>
                <c:pt idx="0">
                  <c:v>Relay 10 - (none)_x000d_11 kV_x000d_CT = 400:5_x000d_ 0 A / 0 A_x000d_Custom_x000d_(Existing)_x000d_</c:v>
                </c:pt>
              </c:strCache>
            </c:strRef>
          </c:tx>
          <c:spPr>
            <a:ln w="25400">
              <a:solidFill>
                <a:srgbClr val="FFFFFF"/>
              </a:solidFill>
              <a:prstDash val="sysDash"/>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B101-4E50-820F-94C48862BD78}"/>
            </c:ext>
          </c:extLst>
        </c:ser>
        <c:ser>
          <c:idx val="11"/>
          <c:order val="10"/>
          <c:tx>
            <c:strRef>
              <c:f>Faults!$B$3</c:f>
              <c:strCache>
                <c:ptCount val="1"/>
                <c:pt idx="0">
                  <c:v>Fault1</c:v>
                </c:pt>
              </c:strCache>
            </c:strRef>
          </c:tx>
          <c:spPr>
            <a:ln w="25400">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B101-4E50-820F-94C48862BD78}"/>
            </c:ext>
          </c:extLst>
        </c:ser>
        <c:ser>
          <c:idx val="10"/>
          <c:order val="11"/>
          <c:tx>
            <c:strRef>
              <c:f>Faults!$B$7</c:f>
              <c:strCache>
                <c:ptCount val="1"/>
                <c:pt idx="0">
                  <c:v>Fault2</c:v>
                </c:pt>
              </c:strCache>
            </c:strRef>
          </c:tx>
          <c:spPr>
            <a:ln w="25400">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C-B101-4E50-820F-94C48862BD78}"/>
            </c:ext>
          </c:extLst>
        </c:ser>
        <c:ser>
          <c:idx val="12"/>
          <c:order val="12"/>
          <c:tx>
            <c:strRef>
              <c:f>Faults!$B$11</c:f>
              <c:strCache>
                <c:ptCount val="1"/>
                <c:pt idx="0">
                  <c:v>Fault3</c:v>
                </c:pt>
              </c:strCache>
            </c:strRef>
          </c:tx>
          <c:spPr>
            <a:ln w="25400">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D-B101-4E50-820F-94C48862BD78}"/>
            </c:ext>
          </c:extLst>
        </c:ser>
        <c:ser>
          <c:idx val="13"/>
          <c:order val="13"/>
          <c:tx>
            <c:strRef>
              <c:f>Faults!$B$15</c:f>
              <c:strCache>
                <c:ptCount val="1"/>
                <c:pt idx="0">
                  <c:v>Fault4</c:v>
                </c:pt>
              </c:strCache>
            </c:strRef>
          </c:tx>
          <c:spPr>
            <a:ln w="25400">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E-B101-4E50-820F-94C48862BD78}"/>
            </c:ext>
          </c:extLst>
        </c:ser>
        <c:ser>
          <c:idx val="14"/>
          <c:order val="14"/>
          <c:tx>
            <c:strRef>
              <c:f>Faults!$B$19</c:f>
              <c:strCache>
                <c:ptCount val="1"/>
                <c:pt idx="0">
                  <c:v>Fault5</c:v>
                </c:pt>
              </c:strCache>
            </c:strRef>
          </c:tx>
          <c:spPr>
            <a:ln w="25400">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F-B101-4E50-820F-94C48862BD78}"/>
            </c:ext>
          </c:extLst>
        </c:ser>
        <c:ser>
          <c:idx val="15"/>
          <c:order val="15"/>
          <c:tx>
            <c:strRef>
              <c:f>Faults!$B$23</c:f>
              <c:strCache>
                <c:ptCount val="1"/>
                <c:pt idx="0">
                  <c:v>Fault6</c:v>
                </c:pt>
              </c:strCache>
            </c:strRef>
          </c:tx>
          <c:spPr>
            <a:ln w="25400">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10-B101-4E50-820F-94C48862BD78}"/>
            </c:ext>
          </c:extLst>
        </c:ser>
        <c:ser>
          <c:idx val="16"/>
          <c:order val="16"/>
          <c:tx>
            <c:strRef>
              <c:f>Faults!$B$27</c:f>
              <c:strCache>
                <c:ptCount val="1"/>
                <c:pt idx="0">
                  <c:v>Fault7</c:v>
                </c:pt>
              </c:strCache>
            </c:strRef>
          </c:tx>
          <c:spPr>
            <a:ln w="25400">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2-B101-4E50-820F-94C48862BD78}"/>
            </c:ext>
          </c:extLst>
        </c:ser>
        <c:ser>
          <c:idx val="17"/>
          <c:order val="17"/>
          <c:tx>
            <c:strRef>
              <c:f>Faults!$B$31</c:f>
              <c:strCache>
                <c:ptCount val="1"/>
                <c:pt idx="0">
                  <c:v>Fault8</c:v>
                </c:pt>
              </c:strCache>
            </c:strRef>
          </c:tx>
          <c:spPr>
            <a:ln w="25400">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4-B101-4E50-820F-94C48862BD78}"/>
            </c:ext>
          </c:extLst>
        </c:ser>
        <c:ser>
          <c:idx val="18"/>
          <c:order val="18"/>
          <c:tx>
            <c:strRef>
              <c:f>Faults!$B$35</c:f>
              <c:strCache>
                <c:ptCount val="1"/>
                <c:pt idx="0">
                  <c:v>Fault9</c:v>
                </c:pt>
              </c:strCache>
            </c:strRef>
          </c:tx>
          <c:spPr>
            <a:ln w="25400">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5-B101-4E50-820F-94C48862BD78}"/>
            </c:ext>
          </c:extLst>
        </c:ser>
        <c:ser>
          <c:idx val="19"/>
          <c:order val="19"/>
          <c:tx>
            <c:strRef>
              <c:f>Faults!$B$39</c:f>
              <c:strCache>
                <c:ptCount val="1"/>
                <c:pt idx="0">
                  <c:v>Fault10</c:v>
                </c:pt>
              </c:strCache>
            </c:strRef>
          </c:tx>
          <c:spPr>
            <a:ln w="25400">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6-B101-4E50-820F-94C48862BD78}"/>
            </c:ext>
          </c:extLst>
        </c:ser>
        <c:ser>
          <c:idx val="20"/>
          <c:order val="20"/>
          <c:tx>
            <c:strRef>
              <c:f>Faults!$B$43</c:f>
              <c:strCache>
                <c:ptCount val="1"/>
                <c:pt idx="0">
                  <c:v>Fault11</c:v>
                </c:pt>
              </c:strCache>
            </c:strRef>
          </c:tx>
          <c:spPr>
            <a:ln w="25400">
              <a:noFill/>
            </a:ln>
          </c:spPr>
          <c:marker>
            <c:symbol val="none"/>
          </c:marker>
          <c:xVal>
            <c:numRef>
              <c:f>Calcs!$A$216:$A$217</c:f>
              <c:numCache>
                <c:formatCode>General</c:formatCode>
                <c:ptCount val="2"/>
                <c:pt idx="0">
                  <c:v>1</c:v>
                </c:pt>
                <c:pt idx="1">
                  <c:v>1</c:v>
                </c:pt>
              </c:numCache>
            </c:numRef>
          </c:xVal>
          <c:yVal>
            <c:numRef>
              <c:f>Calcs!$B$218:$B$219</c:f>
              <c:numCache>
                <c:formatCode>General</c:formatCode>
                <c:ptCount val="2"/>
                <c:pt idx="0">
                  <c:v>4</c:v>
                </c:pt>
                <c:pt idx="1">
                  <c:v>1E-3</c:v>
                </c:pt>
              </c:numCache>
            </c:numRef>
          </c:yVal>
          <c:smooth val="0"/>
          <c:extLst>
            <c:ext xmlns:c16="http://schemas.microsoft.com/office/drawing/2014/chart" uri="{C3380CC4-5D6E-409C-BE32-E72D297353CC}">
              <c16:uniqueId val="{00000017-B101-4E50-820F-94C48862BD78}"/>
            </c:ext>
          </c:extLst>
        </c:ser>
        <c:ser>
          <c:idx val="21"/>
          <c:order val="21"/>
          <c:tx>
            <c:strRef>
              <c:f>Faults!$B$47</c:f>
              <c:strCache>
                <c:ptCount val="1"/>
                <c:pt idx="0">
                  <c:v>Fault12</c:v>
                </c:pt>
              </c:strCache>
            </c:strRef>
          </c:tx>
          <c:spPr>
            <a:ln w="25400">
              <a:noFill/>
            </a:ln>
          </c:spPr>
          <c:marker>
            <c:symbol val="none"/>
          </c:marker>
          <c:xVal>
            <c:numRef>
              <c:f>Calcs!$A$220:$A$221</c:f>
              <c:numCache>
                <c:formatCode>General</c:formatCode>
                <c:ptCount val="2"/>
                <c:pt idx="0">
                  <c:v>1</c:v>
                </c:pt>
                <c:pt idx="1">
                  <c:v>1</c:v>
                </c:pt>
              </c:numCache>
            </c:numRef>
          </c:xVal>
          <c:yVal>
            <c:numRef>
              <c:f>Calcs!$B$222:$B$223</c:f>
              <c:numCache>
                <c:formatCode>General</c:formatCode>
                <c:ptCount val="2"/>
                <c:pt idx="0">
                  <c:v>4</c:v>
                </c:pt>
                <c:pt idx="1">
                  <c:v>1E-3</c:v>
                </c:pt>
              </c:numCache>
            </c:numRef>
          </c:yVal>
          <c:smooth val="0"/>
          <c:extLst>
            <c:ext xmlns:c16="http://schemas.microsoft.com/office/drawing/2014/chart" uri="{C3380CC4-5D6E-409C-BE32-E72D297353CC}">
              <c16:uniqueId val="{00000018-B101-4E50-820F-94C48862BD78}"/>
            </c:ext>
          </c:extLst>
        </c:ser>
        <c:ser>
          <c:idx val="22"/>
          <c:order val="22"/>
          <c:tx>
            <c:strRef>
              <c:f>Faults!$B$51</c:f>
              <c:strCache>
                <c:ptCount val="1"/>
                <c:pt idx="0">
                  <c:v>Fault13</c:v>
                </c:pt>
              </c:strCache>
            </c:strRef>
          </c:tx>
          <c:spPr>
            <a:ln w="25400">
              <a:noFill/>
            </a:ln>
          </c:spPr>
          <c:marker>
            <c:symbol val="none"/>
          </c:marker>
          <c:xVal>
            <c:numRef>
              <c:f>Calcs!$A$224:$A$225</c:f>
              <c:numCache>
                <c:formatCode>General</c:formatCode>
                <c:ptCount val="2"/>
                <c:pt idx="0">
                  <c:v>1</c:v>
                </c:pt>
                <c:pt idx="1">
                  <c:v>1</c:v>
                </c:pt>
              </c:numCache>
            </c:numRef>
          </c:xVal>
          <c:yVal>
            <c:numRef>
              <c:f>Calcs!$B$226:$B$227</c:f>
              <c:numCache>
                <c:formatCode>General</c:formatCode>
                <c:ptCount val="2"/>
                <c:pt idx="0">
                  <c:v>4</c:v>
                </c:pt>
                <c:pt idx="1">
                  <c:v>1E-3</c:v>
                </c:pt>
              </c:numCache>
            </c:numRef>
          </c:yVal>
          <c:smooth val="0"/>
          <c:extLst>
            <c:ext xmlns:c16="http://schemas.microsoft.com/office/drawing/2014/chart" uri="{C3380CC4-5D6E-409C-BE32-E72D297353CC}">
              <c16:uniqueId val="{00000019-B101-4E50-820F-94C48862BD78}"/>
            </c:ext>
          </c:extLst>
        </c:ser>
        <c:ser>
          <c:idx val="23"/>
          <c:order val="23"/>
          <c:tx>
            <c:strRef>
              <c:f>Faults!$B$55</c:f>
              <c:strCache>
                <c:ptCount val="1"/>
                <c:pt idx="0">
                  <c:v>Fault14</c:v>
                </c:pt>
              </c:strCache>
            </c:strRef>
          </c:tx>
          <c:spPr>
            <a:ln w="25400">
              <a:noFill/>
            </a:ln>
          </c:spPr>
          <c:marker>
            <c:symbol val="none"/>
          </c:marker>
          <c:xVal>
            <c:numRef>
              <c:f>Calcs!$A$228:$A$229</c:f>
              <c:numCache>
                <c:formatCode>General</c:formatCode>
                <c:ptCount val="2"/>
                <c:pt idx="0">
                  <c:v>1</c:v>
                </c:pt>
                <c:pt idx="1">
                  <c:v>1</c:v>
                </c:pt>
              </c:numCache>
            </c:numRef>
          </c:xVal>
          <c:yVal>
            <c:numRef>
              <c:f>Calcs!$B$230:$B$231</c:f>
              <c:numCache>
                <c:formatCode>General</c:formatCode>
                <c:ptCount val="2"/>
                <c:pt idx="0">
                  <c:v>4</c:v>
                </c:pt>
                <c:pt idx="1">
                  <c:v>1E-3</c:v>
                </c:pt>
              </c:numCache>
            </c:numRef>
          </c:yVal>
          <c:smooth val="0"/>
          <c:extLst>
            <c:ext xmlns:c16="http://schemas.microsoft.com/office/drawing/2014/chart" uri="{C3380CC4-5D6E-409C-BE32-E72D297353CC}">
              <c16:uniqueId val="{0000001A-B101-4E50-820F-94C48862BD78}"/>
            </c:ext>
          </c:extLst>
        </c:ser>
        <c:ser>
          <c:idx val="24"/>
          <c:order val="24"/>
          <c:tx>
            <c:strRef>
              <c:f>Faults!$B$59</c:f>
              <c:strCache>
                <c:ptCount val="1"/>
                <c:pt idx="0">
                  <c:v>Fault15</c:v>
                </c:pt>
              </c:strCache>
            </c:strRef>
          </c:tx>
          <c:spPr>
            <a:ln w="25400">
              <a:noFill/>
            </a:ln>
          </c:spPr>
          <c:marker>
            <c:symbol val="none"/>
          </c:marker>
          <c:xVal>
            <c:numRef>
              <c:f>Calcs!$A$232:$A$233</c:f>
              <c:numCache>
                <c:formatCode>General</c:formatCode>
                <c:ptCount val="2"/>
                <c:pt idx="0">
                  <c:v>1</c:v>
                </c:pt>
                <c:pt idx="1">
                  <c:v>1</c:v>
                </c:pt>
              </c:numCache>
            </c:numRef>
          </c:xVal>
          <c:yVal>
            <c:numRef>
              <c:f>Calcs!$B$234:$B$235</c:f>
              <c:numCache>
                <c:formatCode>General</c:formatCode>
                <c:ptCount val="2"/>
                <c:pt idx="0">
                  <c:v>4</c:v>
                </c:pt>
                <c:pt idx="1">
                  <c:v>1E-3</c:v>
                </c:pt>
              </c:numCache>
            </c:numRef>
          </c:yVal>
          <c:smooth val="0"/>
          <c:extLst>
            <c:ext xmlns:c16="http://schemas.microsoft.com/office/drawing/2014/chart" uri="{C3380CC4-5D6E-409C-BE32-E72D297353CC}">
              <c16:uniqueId val="{0000001B-B101-4E50-820F-94C48862BD78}"/>
            </c:ext>
          </c:extLst>
        </c:ser>
        <c:ser>
          <c:idx val="25"/>
          <c:order val="25"/>
          <c:tx>
            <c:strRef>
              <c:f>Faults!$B$63</c:f>
              <c:strCache>
                <c:ptCount val="1"/>
                <c:pt idx="0">
                  <c:v>Fault16</c:v>
                </c:pt>
              </c:strCache>
            </c:strRef>
          </c:tx>
          <c:spPr>
            <a:ln w="25400">
              <a:noFill/>
            </a:ln>
          </c:spPr>
          <c:marker>
            <c:symbol val="none"/>
          </c:marker>
          <c:xVal>
            <c:numRef>
              <c:f>Calcs!$A$236:$A$237</c:f>
              <c:numCache>
                <c:formatCode>General</c:formatCode>
                <c:ptCount val="2"/>
                <c:pt idx="0">
                  <c:v>1</c:v>
                </c:pt>
                <c:pt idx="1">
                  <c:v>1</c:v>
                </c:pt>
              </c:numCache>
            </c:numRef>
          </c:xVal>
          <c:yVal>
            <c:numRef>
              <c:f>Calcs!$B$238:$B$239</c:f>
              <c:numCache>
                <c:formatCode>General</c:formatCode>
                <c:ptCount val="2"/>
                <c:pt idx="0">
                  <c:v>4</c:v>
                </c:pt>
                <c:pt idx="1">
                  <c:v>1E-3</c:v>
                </c:pt>
              </c:numCache>
            </c:numRef>
          </c:yVal>
          <c:smooth val="0"/>
          <c:extLst>
            <c:ext xmlns:c16="http://schemas.microsoft.com/office/drawing/2014/chart" uri="{C3380CC4-5D6E-409C-BE32-E72D297353CC}">
              <c16:uniqueId val="{0000001C-B101-4E50-820F-94C48862BD78}"/>
            </c:ext>
          </c:extLst>
        </c:ser>
        <c:ser>
          <c:idx val="26"/>
          <c:order val="26"/>
          <c:tx>
            <c:strRef>
              <c:f>Faults!$B$67</c:f>
              <c:strCache>
                <c:ptCount val="1"/>
                <c:pt idx="0">
                  <c:v>Fault17</c:v>
                </c:pt>
              </c:strCache>
            </c:strRef>
          </c:tx>
          <c:spPr>
            <a:ln w="25400">
              <a:noFill/>
            </a:ln>
          </c:spPr>
          <c:marker>
            <c:symbol val="none"/>
          </c:marker>
          <c:xVal>
            <c:numRef>
              <c:f>Calcs!$A$240:$A$241</c:f>
              <c:numCache>
                <c:formatCode>General</c:formatCode>
                <c:ptCount val="2"/>
                <c:pt idx="0">
                  <c:v>1</c:v>
                </c:pt>
                <c:pt idx="1">
                  <c:v>1</c:v>
                </c:pt>
              </c:numCache>
            </c:numRef>
          </c:xVal>
          <c:yVal>
            <c:numRef>
              <c:f>Calcs!$B$242:$B$243</c:f>
              <c:numCache>
                <c:formatCode>General</c:formatCode>
                <c:ptCount val="2"/>
                <c:pt idx="0">
                  <c:v>4</c:v>
                </c:pt>
                <c:pt idx="1">
                  <c:v>1E-3</c:v>
                </c:pt>
              </c:numCache>
            </c:numRef>
          </c:yVal>
          <c:smooth val="0"/>
          <c:extLst>
            <c:ext xmlns:c16="http://schemas.microsoft.com/office/drawing/2014/chart" uri="{C3380CC4-5D6E-409C-BE32-E72D297353CC}">
              <c16:uniqueId val="{0000001D-B101-4E50-820F-94C48862BD78}"/>
            </c:ext>
          </c:extLst>
        </c:ser>
        <c:ser>
          <c:idx val="27"/>
          <c:order val="27"/>
          <c:tx>
            <c:strRef>
              <c:f>Faults!$B$71</c:f>
              <c:strCache>
                <c:ptCount val="1"/>
                <c:pt idx="0">
                  <c:v>Fault18</c:v>
                </c:pt>
              </c:strCache>
            </c:strRef>
          </c:tx>
          <c:spPr>
            <a:ln w="25400">
              <a:noFill/>
            </a:ln>
          </c:spPr>
          <c:marker>
            <c:symbol val="none"/>
          </c:marker>
          <c:xVal>
            <c:numRef>
              <c:f>Calcs!$A$244:$A$245</c:f>
              <c:numCache>
                <c:formatCode>General</c:formatCode>
                <c:ptCount val="2"/>
                <c:pt idx="0">
                  <c:v>1</c:v>
                </c:pt>
                <c:pt idx="1">
                  <c:v>1</c:v>
                </c:pt>
              </c:numCache>
            </c:numRef>
          </c:xVal>
          <c:yVal>
            <c:numRef>
              <c:f>Calcs!$B$246:$B$247</c:f>
              <c:numCache>
                <c:formatCode>General</c:formatCode>
                <c:ptCount val="2"/>
                <c:pt idx="0">
                  <c:v>4</c:v>
                </c:pt>
                <c:pt idx="1">
                  <c:v>1E-3</c:v>
                </c:pt>
              </c:numCache>
            </c:numRef>
          </c:yVal>
          <c:smooth val="0"/>
          <c:extLst>
            <c:ext xmlns:c16="http://schemas.microsoft.com/office/drawing/2014/chart" uri="{C3380CC4-5D6E-409C-BE32-E72D297353CC}">
              <c16:uniqueId val="{0000001E-B101-4E50-820F-94C48862BD78}"/>
            </c:ext>
          </c:extLst>
        </c:ser>
        <c:ser>
          <c:idx val="28"/>
          <c:order val="28"/>
          <c:tx>
            <c:strRef>
              <c:f>Faults!$B$75</c:f>
              <c:strCache>
                <c:ptCount val="1"/>
                <c:pt idx="0">
                  <c:v>Fault19</c:v>
                </c:pt>
              </c:strCache>
            </c:strRef>
          </c:tx>
          <c:spPr>
            <a:ln w="25400">
              <a:noFill/>
            </a:ln>
          </c:spPr>
          <c:marker>
            <c:symbol val="none"/>
          </c:marker>
          <c:xVal>
            <c:numRef>
              <c:f>Calcs!$A$248:$A$249</c:f>
              <c:numCache>
                <c:formatCode>General</c:formatCode>
                <c:ptCount val="2"/>
                <c:pt idx="0">
                  <c:v>1</c:v>
                </c:pt>
                <c:pt idx="1">
                  <c:v>1</c:v>
                </c:pt>
              </c:numCache>
            </c:numRef>
          </c:xVal>
          <c:yVal>
            <c:numRef>
              <c:f>Calcs!$B$250:$B$251</c:f>
              <c:numCache>
                <c:formatCode>General</c:formatCode>
                <c:ptCount val="2"/>
                <c:pt idx="0">
                  <c:v>4</c:v>
                </c:pt>
                <c:pt idx="1">
                  <c:v>1E-3</c:v>
                </c:pt>
              </c:numCache>
            </c:numRef>
          </c:yVal>
          <c:smooth val="0"/>
          <c:extLst>
            <c:ext xmlns:c16="http://schemas.microsoft.com/office/drawing/2014/chart" uri="{C3380CC4-5D6E-409C-BE32-E72D297353CC}">
              <c16:uniqueId val="{0000001F-B101-4E50-820F-94C48862BD78}"/>
            </c:ext>
          </c:extLst>
        </c:ser>
        <c:ser>
          <c:idx val="29"/>
          <c:order val="29"/>
          <c:tx>
            <c:strRef>
              <c:f>Faults!$B$79</c:f>
              <c:strCache>
                <c:ptCount val="1"/>
                <c:pt idx="0">
                  <c:v>Fault20</c:v>
                </c:pt>
              </c:strCache>
            </c:strRef>
          </c:tx>
          <c:spPr>
            <a:ln w="25400">
              <a:noFill/>
            </a:ln>
          </c:spPr>
          <c:marker>
            <c:symbol val="none"/>
          </c:marker>
          <c:xVal>
            <c:numRef>
              <c:f>Calcs!$A$252:$A$253</c:f>
              <c:numCache>
                <c:formatCode>General</c:formatCode>
                <c:ptCount val="2"/>
                <c:pt idx="0">
                  <c:v>1</c:v>
                </c:pt>
                <c:pt idx="1">
                  <c:v>1</c:v>
                </c:pt>
              </c:numCache>
            </c:numRef>
          </c:xVal>
          <c:yVal>
            <c:numRef>
              <c:f>Calcs!$B$254:$B$255</c:f>
              <c:numCache>
                <c:formatCode>General</c:formatCode>
                <c:ptCount val="2"/>
                <c:pt idx="0">
                  <c:v>4</c:v>
                </c:pt>
                <c:pt idx="1">
                  <c:v>1E-3</c:v>
                </c:pt>
              </c:numCache>
            </c:numRef>
          </c:yVal>
          <c:smooth val="0"/>
          <c:extLst>
            <c:ext xmlns:c16="http://schemas.microsoft.com/office/drawing/2014/chart" uri="{C3380CC4-5D6E-409C-BE32-E72D297353CC}">
              <c16:uniqueId val="{00000020-B101-4E50-820F-94C48862BD78}"/>
            </c:ext>
          </c:extLst>
        </c:ser>
        <c:dLbls>
          <c:showLegendKey val="0"/>
          <c:showVal val="0"/>
          <c:showCatName val="0"/>
          <c:showSerName val="0"/>
          <c:showPercent val="0"/>
          <c:showBubbleSize val="0"/>
        </c:dLbls>
        <c:axId val="908675296"/>
        <c:axId val="1"/>
      </c:scatterChart>
      <c:valAx>
        <c:axId val="908675296"/>
        <c:scaling>
          <c:logBase val="10"/>
          <c:orientation val="minMax"/>
          <c:max val="10000"/>
          <c:min val="10"/>
        </c:scaling>
        <c:delete val="0"/>
        <c:axPos val="b"/>
        <c:majorGridlines>
          <c:spPr>
            <a:ln w="3175">
              <a:solidFill>
                <a:srgbClr val="000000"/>
              </a:solidFill>
              <a:prstDash val="solid"/>
            </a:ln>
          </c:spPr>
        </c:majorGridlines>
        <c:minorGridlines>
          <c:spPr>
            <a:ln w="12700">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AU"/>
                  <a:t>Current (A)</a:t>
                </a:r>
              </a:p>
            </c:rich>
          </c:tx>
          <c:layout>
            <c:manualLayout>
              <c:xMode val="edge"/>
              <c:yMode val="edge"/>
              <c:x val="0.10900018911754346"/>
              <c:y val="0.97615895946541142"/>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minorGridlines>
          <c:spPr>
            <a:ln w="12700">
              <a:solidFill>
                <a:srgbClr val="C0C0C0"/>
              </a:solidFill>
              <a:prstDash val="solid"/>
            </a:ln>
          </c:spPr>
        </c:minorGridlines>
        <c:title>
          <c:tx>
            <c:rich>
              <a:bodyPr/>
              <a:lstStyle/>
              <a:p>
                <a:pPr>
                  <a:defRPr sz="1000" b="0" i="0" u="none" strike="noStrike" baseline="0">
                    <a:solidFill>
                      <a:srgbClr val="000000"/>
                    </a:solidFill>
                    <a:latin typeface="Arial"/>
                    <a:ea typeface="Arial"/>
                    <a:cs typeface="Arial"/>
                  </a:defRPr>
                </a:pPr>
                <a:r>
                  <a:rPr lang="en-AU"/>
                  <a:t>Time (s)</a:t>
                </a:r>
              </a:p>
            </c:rich>
          </c:tx>
          <c:layout>
            <c:manualLayout>
              <c:xMode val="edge"/>
              <c:yMode val="edge"/>
              <c:x val="1.300000486997966E-2"/>
              <c:y val="0.63245032951379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08675296"/>
        <c:crosses val="autoZero"/>
        <c:crossBetween val="midCat"/>
        <c:majorUnit val="1"/>
        <c:minorUnit val="0.1"/>
      </c:valAx>
      <c:spPr>
        <a:noFill/>
        <a:ln w="12700">
          <a:solidFill>
            <a:srgbClr val="000000"/>
          </a:solidFill>
          <a:prstDash val="solid"/>
        </a:ln>
      </c:spPr>
    </c:plotArea>
    <c:legend>
      <c:legendPos val="r"/>
      <c:legendEntry>
        <c:idx val="0"/>
        <c:txPr>
          <a:bodyPr/>
          <a:lstStyle/>
          <a:p>
            <a:pPr>
              <a:defRPr sz="525" b="0" i="0" u="none" strike="noStrike" baseline="0">
                <a:solidFill>
                  <a:srgbClr val="FFFFFF"/>
                </a:solidFill>
                <a:latin typeface="Arial"/>
                <a:ea typeface="Arial"/>
                <a:cs typeface="Arial"/>
              </a:defRPr>
            </a:pPr>
            <a:endParaRPr lang="en-US"/>
          </a:p>
        </c:txPr>
      </c:legendEntry>
      <c:legendEntry>
        <c:idx val="1"/>
        <c:txPr>
          <a:bodyPr/>
          <a:lstStyle/>
          <a:p>
            <a:pPr>
              <a:defRPr sz="520" b="0" i="0" u="none" strike="noStrike" baseline="0">
                <a:solidFill>
                  <a:srgbClr val="FFFFFF"/>
                </a:solidFill>
                <a:latin typeface="Arial"/>
                <a:ea typeface="Arial"/>
                <a:cs typeface="Arial"/>
              </a:defRPr>
            </a:pPr>
            <a:endParaRPr lang="en-US"/>
          </a:p>
        </c:txPr>
      </c:legendEntry>
      <c:legendEntry>
        <c:idx val="2"/>
        <c:txPr>
          <a:bodyPr/>
          <a:lstStyle/>
          <a:p>
            <a:pPr>
              <a:defRPr sz="520" b="0" i="0" u="none" strike="noStrike" baseline="0">
                <a:solidFill>
                  <a:srgbClr val="FFFFFF"/>
                </a:solidFill>
                <a:latin typeface="Arial"/>
                <a:ea typeface="Arial"/>
                <a:cs typeface="Arial"/>
              </a:defRPr>
            </a:pPr>
            <a:endParaRPr lang="en-US"/>
          </a:p>
        </c:txPr>
      </c:legendEntry>
      <c:legendEntry>
        <c:idx val="3"/>
        <c:txPr>
          <a:bodyPr/>
          <a:lstStyle/>
          <a:p>
            <a:pPr>
              <a:defRPr sz="520" b="0" i="0" u="none" strike="noStrike" baseline="0">
                <a:solidFill>
                  <a:srgbClr val="FFFFFF"/>
                </a:solidFill>
                <a:latin typeface="Arial"/>
                <a:ea typeface="Arial"/>
                <a:cs typeface="Arial"/>
              </a:defRPr>
            </a:pPr>
            <a:endParaRPr lang="en-US"/>
          </a:p>
        </c:txPr>
      </c:legendEntry>
      <c:legendEntry>
        <c:idx val="4"/>
        <c:txPr>
          <a:bodyPr/>
          <a:lstStyle/>
          <a:p>
            <a:pPr>
              <a:defRPr sz="520" b="0" i="0" u="none" strike="noStrike" baseline="0">
                <a:solidFill>
                  <a:srgbClr val="FFFFFF"/>
                </a:solidFill>
                <a:latin typeface="Arial"/>
                <a:ea typeface="Arial"/>
                <a:cs typeface="Arial"/>
              </a:defRPr>
            </a:pPr>
            <a:endParaRPr lang="en-US"/>
          </a:p>
        </c:txPr>
      </c:legendEntry>
      <c:legendEntry>
        <c:idx val="5"/>
        <c:txPr>
          <a:bodyPr/>
          <a:lstStyle/>
          <a:p>
            <a:pPr>
              <a:defRPr sz="520" b="0" i="0" u="none" strike="noStrike" baseline="0">
                <a:solidFill>
                  <a:srgbClr val="FFFFFF"/>
                </a:solidFill>
                <a:latin typeface="Arial"/>
                <a:ea typeface="Arial"/>
                <a:cs typeface="Arial"/>
              </a:defRPr>
            </a:pPr>
            <a:endParaRPr lang="en-US"/>
          </a:p>
        </c:txPr>
      </c:legendEntry>
      <c:legendEntry>
        <c:idx val="6"/>
        <c:txPr>
          <a:bodyPr/>
          <a:lstStyle/>
          <a:p>
            <a:pPr>
              <a:defRPr sz="520" b="0" i="0" u="none" strike="noStrike" baseline="0">
                <a:solidFill>
                  <a:srgbClr val="FFFFFF"/>
                </a:solidFill>
                <a:latin typeface="Arial"/>
                <a:ea typeface="Arial"/>
                <a:cs typeface="Arial"/>
              </a:defRPr>
            </a:pPr>
            <a:endParaRPr lang="en-US"/>
          </a:p>
        </c:txPr>
      </c:legendEntry>
      <c:legendEntry>
        <c:idx val="7"/>
        <c:txPr>
          <a:bodyPr/>
          <a:lstStyle/>
          <a:p>
            <a:pPr>
              <a:defRPr sz="520" b="0" i="0" u="none" strike="noStrike" baseline="0">
                <a:solidFill>
                  <a:srgbClr val="FFFFFF"/>
                </a:solidFill>
                <a:latin typeface="Arial"/>
                <a:ea typeface="Arial"/>
                <a:cs typeface="Arial"/>
              </a:defRPr>
            </a:pPr>
            <a:endParaRPr lang="en-US"/>
          </a:p>
        </c:txPr>
      </c:legendEntry>
      <c:legendEntry>
        <c:idx val="8"/>
        <c:txPr>
          <a:bodyPr/>
          <a:lstStyle/>
          <a:p>
            <a:pPr>
              <a:defRPr sz="520" b="0" i="0" u="none" strike="noStrike" baseline="0">
                <a:solidFill>
                  <a:srgbClr val="FFFFFF"/>
                </a:solidFill>
                <a:latin typeface="Arial"/>
                <a:ea typeface="Arial"/>
                <a:cs typeface="Arial"/>
              </a:defRPr>
            </a:pPr>
            <a:endParaRPr lang="en-US"/>
          </a:p>
        </c:txPr>
      </c:legendEntry>
      <c:legendEntry>
        <c:idx val="9"/>
        <c:txPr>
          <a:bodyPr/>
          <a:lstStyle/>
          <a:p>
            <a:pPr>
              <a:defRPr sz="520" b="0" i="0" u="none" strike="noStrike" baseline="0">
                <a:solidFill>
                  <a:srgbClr val="FFFFFF"/>
                </a:solidFill>
                <a:latin typeface="Arial"/>
                <a:ea typeface="Arial"/>
                <a:cs typeface="Arial"/>
              </a:defRPr>
            </a:pPr>
            <a:endParaRPr lang="en-US"/>
          </a:p>
        </c:txPr>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ayout>
        <c:manualLayout>
          <c:xMode val="edge"/>
          <c:yMode val="edge"/>
          <c:x val="3.328803575863732E-2"/>
          <c:y val="0.3402094736702278"/>
          <c:w val="0.93808632525944824"/>
          <c:h val="0.13178646140249028"/>
        </c:manualLayout>
      </c:layout>
      <c:overlay val="0"/>
      <c:spPr>
        <a:solidFill>
          <a:srgbClr val="FFFFFF"/>
        </a:solidFill>
        <a:ln w="3175">
          <a:solidFill>
            <a:srgbClr val="000000"/>
          </a:solidFill>
          <a:prstDash val="solid"/>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7097676396144232E-2"/>
          <c:w val="0.87619251346845584"/>
          <c:h val="0.83900412548745196"/>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4AD9-4CC5-8775-F554B8044257}"/>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4AD9-4CC5-8775-F554B8044257}"/>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4AD9-4CC5-8775-F554B8044257}"/>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4AD9-4CC5-8775-F554B8044257}"/>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4AD9-4CC5-8775-F554B8044257}"/>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4AD9-4CC5-8775-F554B8044257}"/>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4AD9-4CC5-8775-F554B8044257}"/>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4AD9-4CC5-8775-F554B8044257}"/>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4AD9-4CC5-8775-F554B8044257}"/>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4AD9-4CC5-8775-F554B8044257}"/>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4AD9-4CC5-8775-F554B8044257}"/>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4AD9-4CC5-8775-F554B8044257}"/>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4AD9-4CC5-8775-F554B8044257}"/>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4AD9-4CC5-8775-F554B8044257}"/>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4AD9-4CC5-8775-F554B8044257}"/>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4AD9-4CC5-8775-F554B8044257}"/>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4AD9-4CC5-8775-F554B8044257}"/>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4AD9-4CC5-8775-F554B8044257}"/>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4AD9-4CC5-8775-F554B8044257}"/>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4AD9-4CC5-8775-F554B8044257}"/>
            </c:ext>
          </c:extLst>
        </c:ser>
        <c:dLbls>
          <c:showLegendKey val="0"/>
          <c:showVal val="0"/>
          <c:showCatName val="0"/>
          <c:showSerName val="0"/>
          <c:showPercent val="0"/>
          <c:showBubbleSize val="0"/>
        </c:dLbls>
        <c:axId val="905309600"/>
        <c:axId val="1"/>
      </c:scatterChart>
      <c:valAx>
        <c:axId val="905309600"/>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8980544098654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5309600"/>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6529-410D-92DE-86BE36ED30A1}"/>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6529-410D-92DE-86BE36ED30A1}"/>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6529-410D-92DE-86BE36ED30A1}"/>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6529-410D-92DE-86BE36ED30A1}"/>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6529-410D-92DE-86BE36ED30A1}"/>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6529-410D-92DE-86BE36ED30A1}"/>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6529-410D-92DE-86BE36ED30A1}"/>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6529-410D-92DE-86BE36ED30A1}"/>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6529-410D-92DE-86BE36ED30A1}"/>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6529-410D-92DE-86BE36ED30A1}"/>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6529-410D-92DE-86BE36ED30A1}"/>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6529-410D-92DE-86BE36ED30A1}"/>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6529-410D-92DE-86BE36ED30A1}"/>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6529-410D-92DE-86BE36ED30A1}"/>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6529-410D-92DE-86BE36ED30A1}"/>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6529-410D-92DE-86BE36ED30A1}"/>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6529-410D-92DE-86BE36ED30A1}"/>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6529-410D-92DE-86BE36ED30A1}"/>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6529-410D-92DE-86BE36ED30A1}"/>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6529-410D-92DE-86BE36ED30A1}"/>
            </c:ext>
          </c:extLst>
        </c:ser>
        <c:dLbls>
          <c:showLegendKey val="0"/>
          <c:showVal val="0"/>
          <c:showCatName val="0"/>
          <c:showSerName val="0"/>
          <c:showPercent val="0"/>
          <c:showBubbleSize val="0"/>
        </c:dLbls>
        <c:axId val="909119296"/>
        <c:axId val="1"/>
      </c:scatterChart>
      <c:valAx>
        <c:axId val="90911929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911929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000E-4A99-8CFE-79A69AA055B1}"/>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000E-4A99-8CFE-79A69AA055B1}"/>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000E-4A99-8CFE-79A69AA055B1}"/>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000E-4A99-8CFE-79A69AA055B1}"/>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000E-4A99-8CFE-79A69AA055B1}"/>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000E-4A99-8CFE-79A69AA055B1}"/>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000E-4A99-8CFE-79A69AA055B1}"/>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000E-4A99-8CFE-79A69AA055B1}"/>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000E-4A99-8CFE-79A69AA055B1}"/>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000E-4A99-8CFE-79A69AA055B1}"/>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000E-4A99-8CFE-79A69AA055B1}"/>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000E-4A99-8CFE-79A69AA055B1}"/>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000E-4A99-8CFE-79A69AA055B1}"/>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000E-4A99-8CFE-79A69AA055B1}"/>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000E-4A99-8CFE-79A69AA055B1}"/>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000E-4A99-8CFE-79A69AA055B1}"/>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000E-4A99-8CFE-79A69AA055B1}"/>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000E-4A99-8CFE-79A69AA055B1}"/>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000E-4A99-8CFE-79A69AA055B1}"/>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000E-4A99-8CFE-79A69AA055B1}"/>
            </c:ext>
          </c:extLst>
        </c:ser>
        <c:dLbls>
          <c:showLegendKey val="0"/>
          <c:showVal val="0"/>
          <c:showCatName val="0"/>
          <c:showSerName val="0"/>
          <c:showPercent val="0"/>
          <c:showBubbleSize val="0"/>
        </c:dLbls>
        <c:axId val="904853616"/>
        <c:axId val="1"/>
      </c:scatterChart>
      <c:valAx>
        <c:axId val="90485361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485361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15E7-43B0-9826-490E6AB9EC48}"/>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15E7-43B0-9826-490E6AB9EC48}"/>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15E7-43B0-9826-490E6AB9EC48}"/>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15E7-43B0-9826-490E6AB9EC48}"/>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15E7-43B0-9826-490E6AB9EC48}"/>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15E7-43B0-9826-490E6AB9EC48}"/>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15E7-43B0-9826-490E6AB9EC48}"/>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15E7-43B0-9826-490E6AB9EC48}"/>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15E7-43B0-9826-490E6AB9EC48}"/>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15E7-43B0-9826-490E6AB9EC48}"/>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15E7-43B0-9826-490E6AB9EC48}"/>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15E7-43B0-9826-490E6AB9EC48}"/>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15E7-43B0-9826-490E6AB9EC48}"/>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15E7-43B0-9826-490E6AB9EC48}"/>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15E7-43B0-9826-490E6AB9EC48}"/>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15E7-43B0-9826-490E6AB9EC48}"/>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15E7-43B0-9826-490E6AB9EC48}"/>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15E7-43B0-9826-490E6AB9EC48}"/>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15E7-43B0-9826-490E6AB9EC48}"/>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15E7-43B0-9826-490E6AB9EC48}"/>
            </c:ext>
          </c:extLst>
        </c:ser>
        <c:dLbls>
          <c:showLegendKey val="0"/>
          <c:showVal val="0"/>
          <c:showCatName val="0"/>
          <c:showSerName val="0"/>
          <c:showPercent val="0"/>
          <c:showBubbleSize val="0"/>
        </c:dLbls>
        <c:axId val="909335680"/>
        <c:axId val="1"/>
      </c:scatterChart>
      <c:valAx>
        <c:axId val="909335680"/>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9335680"/>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1A1F-4740-A9BE-D69F8BE7274B}"/>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1A1F-4740-A9BE-D69F8BE7274B}"/>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1A1F-4740-A9BE-D69F8BE7274B}"/>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1A1F-4740-A9BE-D69F8BE7274B}"/>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1A1F-4740-A9BE-D69F8BE7274B}"/>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1A1F-4740-A9BE-D69F8BE7274B}"/>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1A1F-4740-A9BE-D69F8BE7274B}"/>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1A1F-4740-A9BE-D69F8BE7274B}"/>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1A1F-4740-A9BE-D69F8BE7274B}"/>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1A1F-4740-A9BE-D69F8BE7274B}"/>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1A1F-4740-A9BE-D69F8BE7274B}"/>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1A1F-4740-A9BE-D69F8BE7274B}"/>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1A1F-4740-A9BE-D69F8BE7274B}"/>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1A1F-4740-A9BE-D69F8BE7274B}"/>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1A1F-4740-A9BE-D69F8BE7274B}"/>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1A1F-4740-A9BE-D69F8BE7274B}"/>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1A1F-4740-A9BE-D69F8BE7274B}"/>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1A1F-4740-A9BE-D69F8BE7274B}"/>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1A1F-4740-A9BE-D69F8BE7274B}"/>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1A1F-4740-A9BE-D69F8BE7274B}"/>
            </c:ext>
          </c:extLst>
        </c:ser>
        <c:dLbls>
          <c:showLegendKey val="0"/>
          <c:showVal val="0"/>
          <c:showCatName val="0"/>
          <c:showSerName val="0"/>
          <c:showPercent val="0"/>
          <c:showBubbleSize val="0"/>
        </c:dLbls>
        <c:axId val="908677696"/>
        <c:axId val="1"/>
      </c:scatterChart>
      <c:valAx>
        <c:axId val="90867769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867769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1B3F-4FD1-B207-AED4FB41207B}"/>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1B3F-4FD1-B207-AED4FB41207B}"/>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1B3F-4FD1-B207-AED4FB41207B}"/>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1B3F-4FD1-B207-AED4FB41207B}"/>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1B3F-4FD1-B207-AED4FB41207B}"/>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1B3F-4FD1-B207-AED4FB41207B}"/>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1B3F-4FD1-B207-AED4FB41207B}"/>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1B3F-4FD1-B207-AED4FB41207B}"/>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1B3F-4FD1-B207-AED4FB41207B}"/>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1B3F-4FD1-B207-AED4FB41207B}"/>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1B3F-4FD1-B207-AED4FB41207B}"/>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1B3F-4FD1-B207-AED4FB41207B}"/>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1B3F-4FD1-B207-AED4FB41207B}"/>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1B3F-4FD1-B207-AED4FB41207B}"/>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1B3F-4FD1-B207-AED4FB41207B}"/>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1B3F-4FD1-B207-AED4FB41207B}"/>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1B3F-4FD1-B207-AED4FB41207B}"/>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1B3F-4FD1-B207-AED4FB41207B}"/>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1B3F-4FD1-B207-AED4FB41207B}"/>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1B3F-4FD1-B207-AED4FB41207B}"/>
            </c:ext>
          </c:extLst>
        </c:ser>
        <c:dLbls>
          <c:showLegendKey val="0"/>
          <c:showVal val="0"/>
          <c:showCatName val="0"/>
          <c:showSerName val="0"/>
          <c:showPercent val="0"/>
          <c:showBubbleSize val="0"/>
        </c:dLbls>
        <c:axId val="907470896"/>
        <c:axId val="1"/>
      </c:scatterChart>
      <c:valAx>
        <c:axId val="90747089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47089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41E2-4FAE-B44B-F77BD051CF5B}"/>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41E2-4FAE-B44B-F77BD051CF5B}"/>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41E2-4FAE-B44B-F77BD051CF5B}"/>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41E2-4FAE-B44B-F77BD051CF5B}"/>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41E2-4FAE-B44B-F77BD051CF5B}"/>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41E2-4FAE-B44B-F77BD051CF5B}"/>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41E2-4FAE-B44B-F77BD051CF5B}"/>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41E2-4FAE-B44B-F77BD051CF5B}"/>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41E2-4FAE-B44B-F77BD051CF5B}"/>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41E2-4FAE-B44B-F77BD051CF5B}"/>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41E2-4FAE-B44B-F77BD051CF5B}"/>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41E2-4FAE-B44B-F77BD051CF5B}"/>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41E2-4FAE-B44B-F77BD051CF5B}"/>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41E2-4FAE-B44B-F77BD051CF5B}"/>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41E2-4FAE-B44B-F77BD051CF5B}"/>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41E2-4FAE-B44B-F77BD051CF5B}"/>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41E2-4FAE-B44B-F77BD051CF5B}"/>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41E2-4FAE-B44B-F77BD051CF5B}"/>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41E2-4FAE-B44B-F77BD051CF5B}"/>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41E2-4FAE-B44B-F77BD051CF5B}"/>
            </c:ext>
          </c:extLst>
        </c:ser>
        <c:dLbls>
          <c:showLegendKey val="0"/>
          <c:showVal val="0"/>
          <c:showCatName val="0"/>
          <c:showSerName val="0"/>
          <c:showPercent val="0"/>
          <c:showBubbleSize val="0"/>
        </c:dLbls>
        <c:axId val="907478096"/>
        <c:axId val="1"/>
      </c:scatterChart>
      <c:valAx>
        <c:axId val="90747809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47809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9B36-497E-B1CC-94942D205966}"/>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9B36-497E-B1CC-94942D205966}"/>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9B36-497E-B1CC-94942D205966}"/>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9B36-497E-B1CC-94942D205966}"/>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9B36-497E-B1CC-94942D205966}"/>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9B36-497E-B1CC-94942D205966}"/>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9B36-497E-B1CC-94942D205966}"/>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9B36-497E-B1CC-94942D205966}"/>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9B36-497E-B1CC-94942D205966}"/>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9B36-497E-B1CC-94942D205966}"/>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9B36-497E-B1CC-94942D205966}"/>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9B36-497E-B1CC-94942D205966}"/>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9B36-497E-B1CC-94942D205966}"/>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9B36-497E-B1CC-94942D205966}"/>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9B36-497E-B1CC-94942D205966}"/>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9B36-497E-B1CC-94942D205966}"/>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9B36-497E-B1CC-94942D205966}"/>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9B36-497E-B1CC-94942D205966}"/>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9B36-497E-B1CC-94942D205966}"/>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9B36-497E-B1CC-94942D205966}"/>
            </c:ext>
          </c:extLst>
        </c:ser>
        <c:dLbls>
          <c:showLegendKey val="0"/>
          <c:showVal val="0"/>
          <c:showCatName val="0"/>
          <c:showSerName val="0"/>
          <c:showPercent val="0"/>
          <c:showBubbleSize val="0"/>
        </c:dLbls>
        <c:axId val="907432976"/>
        <c:axId val="1"/>
      </c:scatterChart>
      <c:valAx>
        <c:axId val="90743297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43297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CBF0-4ACB-87FD-971470423497}"/>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CBF0-4ACB-87FD-971470423497}"/>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CBF0-4ACB-87FD-971470423497}"/>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CBF0-4ACB-87FD-971470423497}"/>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CBF0-4ACB-87FD-971470423497}"/>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CBF0-4ACB-87FD-971470423497}"/>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CBF0-4ACB-87FD-971470423497}"/>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CBF0-4ACB-87FD-971470423497}"/>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CBF0-4ACB-87FD-971470423497}"/>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CBF0-4ACB-87FD-971470423497}"/>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CBF0-4ACB-87FD-971470423497}"/>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CBF0-4ACB-87FD-971470423497}"/>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CBF0-4ACB-87FD-971470423497}"/>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CBF0-4ACB-87FD-971470423497}"/>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CBF0-4ACB-87FD-971470423497}"/>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CBF0-4ACB-87FD-971470423497}"/>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CBF0-4ACB-87FD-971470423497}"/>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CBF0-4ACB-87FD-971470423497}"/>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CBF0-4ACB-87FD-971470423497}"/>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CBF0-4ACB-87FD-971470423497}"/>
            </c:ext>
          </c:extLst>
        </c:ser>
        <c:dLbls>
          <c:showLegendKey val="0"/>
          <c:showVal val="0"/>
          <c:showCatName val="0"/>
          <c:showSerName val="0"/>
          <c:showPercent val="0"/>
          <c:showBubbleSize val="0"/>
        </c:dLbls>
        <c:axId val="910623232"/>
        <c:axId val="1"/>
      </c:scatterChart>
      <c:valAx>
        <c:axId val="910623232"/>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10623232"/>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Thumbnail</a:t>
            </a:r>
          </a:p>
        </c:rich>
      </c:tx>
      <c:layout>
        <c:manualLayout>
          <c:xMode val="edge"/>
          <c:yMode val="edge"/>
          <c:x val="0.41666766654168225"/>
          <c:y val="1.3605442176870748E-2"/>
        </c:manualLayout>
      </c:layout>
      <c:overlay val="0"/>
      <c:spPr>
        <a:noFill/>
        <a:ln w="25400">
          <a:noFill/>
        </a:ln>
      </c:spPr>
    </c:title>
    <c:autoTitleDeleted val="0"/>
    <c:plotArea>
      <c:layout>
        <c:manualLayout>
          <c:layoutTarget val="inner"/>
          <c:xMode val="edge"/>
          <c:yMode val="edge"/>
          <c:x val="7.3809695428049271E-2"/>
          <c:y val="7.4830097678610583E-2"/>
          <c:w val="0.87619251346845584"/>
          <c:h val="0.84127170420498554"/>
        </c:manualLayout>
      </c:layout>
      <c:scatterChart>
        <c:scatterStyle val="smoothMarker"/>
        <c:varyColors val="0"/>
        <c:ser>
          <c:idx val="0"/>
          <c:order val="0"/>
          <c:tx>
            <c:strRef>
              <c:f>Calcs!$B$1</c:f>
              <c:strCache>
                <c:ptCount val="1"/>
                <c:pt idx="0">
                  <c:v>Relay 1 - (none)_x000d_11 kV_x000d_CT = 400:5_x000d_200 A / 2.5 A_x000d_Custom, 0.1TM_x000d_(Existing)_x000d_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Calcs!$B$5:$B$113</c:f>
              <c:numCache>
                <c:formatCode>General</c:formatCode>
                <c:ptCount val="108"/>
              </c:numCache>
            </c:numRef>
          </c:yVal>
          <c:smooth val="1"/>
          <c:extLst>
            <c:ext xmlns:c16="http://schemas.microsoft.com/office/drawing/2014/chart" uri="{C3380CC4-5D6E-409C-BE32-E72D297353CC}">
              <c16:uniqueId val="{00000000-3983-467B-8CD1-966033788416}"/>
            </c:ext>
          </c:extLst>
        </c:ser>
        <c:ser>
          <c:idx val="1"/>
          <c:order val="1"/>
          <c:tx>
            <c:strRef>
              <c:f>Calcs!$C$1</c:f>
              <c:strCache>
                <c:ptCount val="1"/>
                <c:pt idx="0">
                  <c:v>Relay 2 - (none)_x000d_11 kV_x000d_CT = 400:5_x000d_300 A / 3.75 A_x000d_Custom, 0.15TM_x000d_Inst = 1950 A, 0.7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Calcs!$C$5:$C$113</c:f>
              <c:numCache>
                <c:formatCode>General</c:formatCode>
                <c:ptCount val="108"/>
              </c:numCache>
            </c:numRef>
          </c:yVal>
          <c:smooth val="1"/>
          <c:extLst>
            <c:ext xmlns:c16="http://schemas.microsoft.com/office/drawing/2014/chart" uri="{C3380CC4-5D6E-409C-BE32-E72D297353CC}">
              <c16:uniqueId val="{00000001-3983-467B-8CD1-966033788416}"/>
            </c:ext>
          </c:extLst>
        </c:ser>
        <c:ser>
          <c:idx val="2"/>
          <c:order val="2"/>
          <c:tx>
            <c:strRef>
              <c:f>Calcs!$D$1</c:f>
              <c:strCache>
                <c:ptCount val="1"/>
                <c:pt idx="0">
                  <c:v>Relay 3 - (none)_x000d_11 kV_x000d_CT = 400:5_x000d_200 A / 2.5 A_x000d_SI, 0.1TM_x000d_Inst = 1300 A, 0.1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Calcs!$D$5:$D$113</c:f>
              <c:numCache>
                <c:formatCode>General</c:formatCode>
                <c:ptCount val="108"/>
              </c:numCache>
            </c:numRef>
          </c:yVal>
          <c:smooth val="1"/>
          <c:extLst>
            <c:ext xmlns:c16="http://schemas.microsoft.com/office/drawing/2014/chart" uri="{C3380CC4-5D6E-409C-BE32-E72D297353CC}">
              <c16:uniqueId val="{00000002-3983-467B-8CD1-966033788416}"/>
            </c:ext>
          </c:extLst>
        </c:ser>
        <c:ser>
          <c:idx val="3"/>
          <c:order val="3"/>
          <c:tx>
            <c:strRef>
              <c:f>Calcs!$E$1</c:f>
              <c:strCache>
                <c:ptCount val="1"/>
                <c:pt idx="0">
                  <c:v>Relay 4 - P123_x000d_11 kV_x000d_CT = 400:5_x000d_300 A / 3.75 A_x000d_SI_x000d_Inst = 2210 A, 0.45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Calcs!$E$5:$E$113</c:f>
              <c:numCache>
                <c:formatCode>General</c:formatCode>
                <c:ptCount val="108"/>
              </c:numCache>
            </c:numRef>
          </c:yVal>
          <c:smooth val="1"/>
          <c:extLst>
            <c:ext xmlns:c16="http://schemas.microsoft.com/office/drawing/2014/chart" uri="{C3380CC4-5D6E-409C-BE32-E72D297353CC}">
              <c16:uniqueId val="{00000003-3983-467B-8CD1-966033788416}"/>
            </c:ext>
          </c:extLst>
        </c:ser>
        <c:ser>
          <c:idx val="4"/>
          <c:order val="4"/>
          <c:tx>
            <c:strRef>
              <c:f>Calcs!$F$1</c:f>
              <c:strCache>
                <c:ptCount val="1"/>
                <c:pt idx="0">
                  <c:v>Relay 5 - (none)_x000d_11 kV_x000d_CT = 400:5_x000d_200 A / 2.5 A_x000d_Custom, 0.2TM_x000d_Inst = 1500 A, 0.15 s_x000d_(Existing)_x000d_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Calcs!$F$5:$F$113</c:f>
              <c:numCache>
                <c:formatCode>General</c:formatCode>
                <c:ptCount val="108"/>
              </c:numCache>
            </c:numRef>
          </c:yVal>
          <c:smooth val="1"/>
          <c:extLst>
            <c:ext xmlns:c16="http://schemas.microsoft.com/office/drawing/2014/chart" uri="{C3380CC4-5D6E-409C-BE32-E72D297353CC}">
              <c16:uniqueId val="{00000004-3983-467B-8CD1-966033788416}"/>
            </c:ext>
          </c:extLst>
        </c:ser>
        <c:ser>
          <c:idx val="5"/>
          <c:order val="5"/>
          <c:tx>
            <c:strRef>
              <c:f>Calcs!$G$1</c:f>
              <c:strCache>
                <c:ptCount val="1"/>
                <c:pt idx="0">
                  <c:v>Relay 6 -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Calcs!$G$5:$G$113</c:f>
              <c:numCache>
                <c:formatCode>General</c:formatCode>
                <c:ptCount val="108"/>
              </c:numCache>
            </c:numRef>
          </c:yVal>
          <c:smooth val="1"/>
          <c:extLst>
            <c:ext xmlns:c16="http://schemas.microsoft.com/office/drawing/2014/chart" uri="{C3380CC4-5D6E-409C-BE32-E72D297353CC}">
              <c16:uniqueId val="{00000005-3983-467B-8CD1-966033788416}"/>
            </c:ext>
          </c:extLst>
        </c:ser>
        <c:ser>
          <c:idx val="6"/>
          <c:order val="6"/>
          <c:tx>
            <c:strRef>
              <c:f>Calcs!$H$1</c:f>
              <c:strCache>
                <c:ptCount val="1"/>
                <c:pt idx="0">
                  <c:v>Relay 7 -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Calcs!$H$5:$H$113</c:f>
              <c:numCache>
                <c:formatCode>General</c:formatCode>
                <c:ptCount val="108"/>
              </c:numCache>
            </c:numRef>
          </c:yVal>
          <c:smooth val="1"/>
          <c:extLst>
            <c:ext xmlns:c16="http://schemas.microsoft.com/office/drawing/2014/chart" uri="{C3380CC4-5D6E-409C-BE32-E72D297353CC}">
              <c16:uniqueId val="{00000006-3983-467B-8CD1-966033788416}"/>
            </c:ext>
          </c:extLst>
        </c:ser>
        <c:ser>
          <c:idx val="7"/>
          <c:order val="7"/>
          <c:tx>
            <c:strRef>
              <c:f>Calcs!$I$1</c:f>
              <c:strCache>
                <c:ptCount val="1"/>
                <c:pt idx="0">
                  <c:v>Relay 8 - (none)_x000d_11 kV_x000d_CT = 400:5_x000d_ 0 A / 0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Calcs!$I$5:$I$113</c:f>
              <c:numCache>
                <c:formatCode>General</c:formatCode>
                <c:ptCount val="108"/>
              </c:numCache>
            </c:numRef>
          </c:yVal>
          <c:smooth val="1"/>
          <c:extLst>
            <c:ext xmlns:c16="http://schemas.microsoft.com/office/drawing/2014/chart" uri="{C3380CC4-5D6E-409C-BE32-E72D297353CC}">
              <c16:uniqueId val="{00000007-3983-467B-8CD1-966033788416}"/>
            </c:ext>
          </c:extLst>
        </c:ser>
        <c:ser>
          <c:idx val="8"/>
          <c:order val="8"/>
          <c:tx>
            <c:strRef>
              <c:f>Calcs!$J$1</c:f>
              <c:strCache>
                <c:ptCount val="1"/>
                <c:pt idx="0">
                  <c:v>Relay 9 - (none)_x000d_11 kV_x000d_CT = 400:5_x000d_100 A / 1.25 A_x000d_Custom_x000d_(Existing)_x000d_</c:v>
                </c:pt>
              </c:strCache>
            </c:strRef>
          </c:tx>
          <c:spPr>
            <a:ln w="28575">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Calcs!$J$5:$J$113</c:f>
              <c:numCache>
                <c:formatCode>General</c:formatCode>
                <c:ptCount val="108"/>
              </c:numCache>
            </c:numRef>
          </c:yVal>
          <c:smooth val="1"/>
          <c:extLst>
            <c:ext xmlns:c16="http://schemas.microsoft.com/office/drawing/2014/chart" uri="{C3380CC4-5D6E-409C-BE32-E72D297353CC}">
              <c16:uniqueId val="{00000008-3983-467B-8CD1-966033788416}"/>
            </c:ext>
          </c:extLst>
        </c:ser>
        <c:ser>
          <c:idx val="9"/>
          <c:order val="9"/>
          <c:tx>
            <c:strRef>
              <c:f>Calcs!$K$1</c:f>
              <c:strCache>
                <c:ptCount val="1"/>
                <c:pt idx="0">
                  <c:v>Relay 10 - (none)_x000d_11 kV_x000d_CT = 400:5_x000d_ 0 A / 0 A_x000d_Custom_x000d_(Existing)_x000d_</c:v>
                </c:pt>
              </c:strCache>
            </c:strRef>
          </c:tx>
          <c:spPr>
            <a:ln w="25400">
              <a:noFill/>
            </a:ln>
          </c:spPr>
          <c:marker>
            <c:symbol val="none"/>
          </c:marker>
          <c:xVal>
            <c:numRef>
              <c:f>Calcs!$A$5:$A$113</c:f>
              <c:numCache>
                <c:formatCode>General</c:formatCode>
                <c:ptCount val="108"/>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35</c:v>
                </c:pt>
                <c:pt idx="22">
                  <c:v>40</c:v>
                </c:pt>
                <c:pt idx="23">
                  <c:v>45</c:v>
                </c:pt>
                <c:pt idx="24">
                  <c:v>50</c:v>
                </c:pt>
                <c:pt idx="25">
                  <c:v>55</c:v>
                </c:pt>
                <c:pt idx="26">
                  <c:v>60</c:v>
                </c:pt>
                <c:pt idx="27">
                  <c:v>65</c:v>
                </c:pt>
                <c:pt idx="28">
                  <c:v>70</c:v>
                </c:pt>
                <c:pt idx="29">
                  <c:v>75</c:v>
                </c:pt>
                <c:pt idx="30">
                  <c:v>80</c:v>
                </c:pt>
                <c:pt idx="31">
                  <c:v>85</c:v>
                </c:pt>
                <c:pt idx="32">
                  <c:v>90</c:v>
                </c:pt>
                <c:pt idx="33">
                  <c:v>95</c:v>
                </c:pt>
                <c:pt idx="34">
                  <c:v>100</c:v>
                </c:pt>
                <c:pt idx="35">
                  <c:v>110</c:v>
                </c:pt>
                <c:pt idx="36">
                  <c:v>120</c:v>
                </c:pt>
                <c:pt idx="37">
                  <c:v>130</c:v>
                </c:pt>
                <c:pt idx="38">
                  <c:v>140</c:v>
                </c:pt>
                <c:pt idx="39">
                  <c:v>150</c:v>
                </c:pt>
                <c:pt idx="40">
                  <c:v>160</c:v>
                </c:pt>
                <c:pt idx="41">
                  <c:v>170</c:v>
                </c:pt>
                <c:pt idx="42">
                  <c:v>180</c:v>
                </c:pt>
                <c:pt idx="43">
                  <c:v>190</c:v>
                </c:pt>
                <c:pt idx="44">
                  <c:v>200</c:v>
                </c:pt>
                <c:pt idx="45">
                  <c:v>210</c:v>
                </c:pt>
                <c:pt idx="46">
                  <c:v>220</c:v>
                </c:pt>
                <c:pt idx="47">
                  <c:v>230</c:v>
                </c:pt>
                <c:pt idx="48">
                  <c:v>240</c:v>
                </c:pt>
                <c:pt idx="49">
                  <c:v>250</c:v>
                </c:pt>
                <c:pt idx="50">
                  <c:v>260</c:v>
                </c:pt>
                <c:pt idx="51">
                  <c:v>270</c:v>
                </c:pt>
                <c:pt idx="52">
                  <c:v>280</c:v>
                </c:pt>
                <c:pt idx="53">
                  <c:v>290</c:v>
                </c:pt>
                <c:pt idx="54">
                  <c:v>300</c:v>
                </c:pt>
                <c:pt idx="55">
                  <c:v>350</c:v>
                </c:pt>
                <c:pt idx="56">
                  <c:v>400</c:v>
                </c:pt>
                <c:pt idx="57">
                  <c:v>450</c:v>
                </c:pt>
                <c:pt idx="58">
                  <c:v>500</c:v>
                </c:pt>
                <c:pt idx="59">
                  <c:v>550</c:v>
                </c:pt>
                <c:pt idx="60">
                  <c:v>600</c:v>
                </c:pt>
                <c:pt idx="61">
                  <c:v>650</c:v>
                </c:pt>
                <c:pt idx="62">
                  <c:v>700</c:v>
                </c:pt>
                <c:pt idx="63">
                  <c:v>750</c:v>
                </c:pt>
                <c:pt idx="64">
                  <c:v>800</c:v>
                </c:pt>
                <c:pt idx="65">
                  <c:v>850</c:v>
                </c:pt>
                <c:pt idx="66">
                  <c:v>900</c:v>
                </c:pt>
                <c:pt idx="67">
                  <c:v>950</c:v>
                </c:pt>
                <c:pt idx="68">
                  <c:v>1000</c:v>
                </c:pt>
                <c:pt idx="69">
                  <c:v>1100</c:v>
                </c:pt>
                <c:pt idx="70">
                  <c:v>1200</c:v>
                </c:pt>
                <c:pt idx="71">
                  <c:v>1300</c:v>
                </c:pt>
                <c:pt idx="72">
                  <c:v>1300</c:v>
                </c:pt>
                <c:pt idx="73">
                  <c:v>1400</c:v>
                </c:pt>
                <c:pt idx="74">
                  <c:v>1500</c:v>
                </c:pt>
                <c:pt idx="75">
                  <c:v>1500</c:v>
                </c:pt>
                <c:pt idx="76">
                  <c:v>1600</c:v>
                </c:pt>
                <c:pt idx="77">
                  <c:v>1700</c:v>
                </c:pt>
                <c:pt idx="78">
                  <c:v>1800</c:v>
                </c:pt>
                <c:pt idx="79">
                  <c:v>1900</c:v>
                </c:pt>
                <c:pt idx="80">
                  <c:v>1950</c:v>
                </c:pt>
                <c:pt idx="81">
                  <c:v>1950</c:v>
                </c:pt>
                <c:pt idx="82">
                  <c:v>2000</c:v>
                </c:pt>
                <c:pt idx="83">
                  <c:v>2100</c:v>
                </c:pt>
                <c:pt idx="84">
                  <c:v>2200</c:v>
                </c:pt>
                <c:pt idx="85">
                  <c:v>2210</c:v>
                </c:pt>
                <c:pt idx="86">
                  <c:v>2210</c:v>
                </c:pt>
                <c:pt idx="87">
                  <c:v>2300</c:v>
                </c:pt>
                <c:pt idx="88">
                  <c:v>2400</c:v>
                </c:pt>
                <c:pt idx="89">
                  <c:v>2500</c:v>
                </c:pt>
                <c:pt idx="90">
                  <c:v>2600</c:v>
                </c:pt>
                <c:pt idx="91">
                  <c:v>2700</c:v>
                </c:pt>
                <c:pt idx="92">
                  <c:v>2800</c:v>
                </c:pt>
                <c:pt idx="93">
                  <c:v>2900</c:v>
                </c:pt>
                <c:pt idx="94">
                  <c:v>3000</c:v>
                </c:pt>
                <c:pt idx="95">
                  <c:v>3500</c:v>
                </c:pt>
                <c:pt idx="96">
                  <c:v>4000</c:v>
                </c:pt>
                <c:pt idx="97">
                  <c:v>4500</c:v>
                </c:pt>
                <c:pt idx="98">
                  <c:v>5000</c:v>
                </c:pt>
                <c:pt idx="99">
                  <c:v>5500</c:v>
                </c:pt>
                <c:pt idx="100">
                  <c:v>6000</c:v>
                </c:pt>
                <c:pt idx="101">
                  <c:v>6500</c:v>
                </c:pt>
                <c:pt idx="102">
                  <c:v>7000</c:v>
                </c:pt>
                <c:pt idx="103">
                  <c:v>7500</c:v>
                </c:pt>
                <c:pt idx="104">
                  <c:v>8000</c:v>
                </c:pt>
                <c:pt idx="105">
                  <c:v>9000</c:v>
                </c:pt>
                <c:pt idx="106">
                  <c:v>9500</c:v>
                </c:pt>
                <c:pt idx="107">
                  <c:v>10000</c:v>
                </c:pt>
              </c:numCache>
            </c:numRef>
          </c:xVal>
          <c:yVal>
            <c:numRef>
              <c:f>Calcs!$K$5:$K$113</c:f>
              <c:numCache>
                <c:formatCode>General</c:formatCode>
                <c:ptCount val="108"/>
              </c:numCache>
            </c:numRef>
          </c:yVal>
          <c:smooth val="1"/>
          <c:extLst>
            <c:ext xmlns:c16="http://schemas.microsoft.com/office/drawing/2014/chart" uri="{C3380CC4-5D6E-409C-BE32-E72D297353CC}">
              <c16:uniqueId val="{00000009-3983-467B-8CD1-966033788416}"/>
            </c:ext>
          </c:extLst>
        </c:ser>
        <c:ser>
          <c:idx val="11"/>
          <c:order val="10"/>
          <c:tx>
            <c:strRef>
              <c:f>Faults!$B$3</c:f>
              <c:strCache>
                <c:ptCount val="1"/>
                <c:pt idx="0">
                  <c:v>Fault1</c:v>
                </c:pt>
              </c:strCache>
            </c:strRef>
          </c:tx>
          <c:spPr>
            <a:ln w="28575">
              <a:noFill/>
            </a:ln>
          </c:spPr>
          <c:marker>
            <c:symbol val="none"/>
          </c:marker>
          <c:xVal>
            <c:numRef>
              <c:f>Calcs!$A$176:$A$177</c:f>
              <c:numCache>
                <c:formatCode>General</c:formatCode>
                <c:ptCount val="2"/>
                <c:pt idx="0">
                  <c:v>1</c:v>
                </c:pt>
                <c:pt idx="1">
                  <c:v>1</c:v>
                </c:pt>
              </c:numCache>
            </c:numRef>
          </c:xVal>
          <c:yVal>
            <c:numRef>
              <c:f>Calcs!$B$178:$B$179</c:f>
              <c:numCache>
                <c:formatCode>General</c:formatCode>
                <c:ptCount val="2"/>
                <c:pt idx="0">
                  <c:v>4</c:v>
                </c:pt>
                <c:pt idx="1">
                  <c:v>1E-3</c:v>
                </c:pt>
              </c:numCache>
            </c:numRef>
          </c:yVal>
          <c:smooth val="0"/>
          <c:extLst>
            <c:ext xmlns:c16="http://schemas.microsoft.com/office/drawing/2014/chart" uri="{C3380CC4-5D6E-409C-BE32-E72D297353CC}">
              <c16:uniqueId val="{0000000A-3983-467B-8CD1-966033788416}"/>
            </c:ext>
          </c:extLst>
        </c:ser>
        <c:ser>
          <c:idx val="10"/>
          <c:order val="11"/>
          <c:tx>
            <c:strRef>
              <c:f>Faults!$B$7</c:f>
              <c:strCache>
                <c:ptCount val="1"/>
                <c:pt idx="0">
                  <c:v>Fault2</c:v>
                </c:pt>
              </c:strCache>
            </c:strRef>
          </c:tx>
          <c:spPr>
            <a:ln w="28575">
              <a:noFill/>
            </a:ln>
          </c:spPr>
          <c:marker>
            <c:symbol val="none"/>
          </c:marker>
          <c:xVal>
            <c:numRef>
              <c:f>Calcs!$A$180:$A$181</c:f>
              <c:numCache>
                <c:formatCode>General</c:formatCode>
                <c:ptCount val="2"/>
                <c:pt idx="0">
                  <c:v>1</c:v>
                </c:pt>
                <c:pt idx="1">
                  <c:v>1</c:v>
                </c:pt>
              </c:numCache>
            </c:numRef>
          </c:xVal>
          <c:yVal>
            <c:numRef>
              <c:f>Calcs!$B$182:$B$183</c:f>
              <c:numCache>
                <c:formatCode>General</c:formatCode>
                <c:ptCount val="2"/>
                <c:pt idx="0">
                  <c:v>4</c:v>
                </c:pt>
                <c:pt idx="1">
                  <c:v>1E-3</c:v>
                </c:pt>
              </c:numCache>
            </c:numRef>
          </c:yVal>
          <c:smooth val="0"/>
          <c:extLst>
            <c:ext xmlns:c16="http://schemas.microsoft.com/office/drawing/2014/chart" uri="{C3380CC4-5D6E-409C-BE32-E72D297353CC}">
              <c16:uniqueId val="{0000000B-3983-467B-8CD1-966033788416}"/>
            </c:ext>
          </c:extLst>
        </c:ser>
        <c:ser>
          <c:idx val="12"/>
          <c:order val="12"/>
          <c:tx>
            <c:strRef>
              <c:f>Faults!$B$11</c:f>
              <c:strCache>
                <c:ptCount val="1"/>
                <c:pt idx="0">
                  <c:v>Fault3</c:v>
                </c:pt>
              </c:strCache>
            </c:strRef>
          </c:tx>
          <c:spPr>
            <a:ln w="28575">
              <a:noFill/>
            </a:ln>
          </c:spPr>
          <c:marker>
            <c:symbol val="none"/>
          </c:marker>
          <c:xVal>
            <c:numRef>
              <c:f>Calcs!$A$184:$A$185</c:f>
              <c:numCache>
                <c:formatCode>General</c:formatCode>
                <c:ptCount val="2"/>
                <c:pt idx="0">
                  <c:v>1</c:v>
                </c:pt>
                <c:pt idx="1">
                  <c:v>1</c:v>
                </c:pt>
              </c:numCache>
            </c:numRef>
          </c:xVal>
          <c:yVal>
            <c:numRef>
              <c:f>Calcs!$B$186:$B$187</c:f>
              <c:numCache>
                <c:formatCode>General</c:formatCode>
                <c:ptCount val="2"/>
                <c:pt idx="0">
                  <c:v>4</c:v>
                </c:pt>
                <c:pt idx="1">
                  <c:v>1E-3</c:v>
                </c:pt>
              </c:numCache>
            </c:numRef>
          </c:yVal>
          <c:smooth val="0"/>
          <c:extLst>
            <c:ext xmlns:c16="http://schemas.microsoft.com/office/drawing/2014/chart" uri="{C3380CC4-5D6E-409C-BE32-E72D297353CC}">
              <c16:uniqueId val="{0000000C-3983-467B-8CD1-966033788416}"/>
            </c:ext>
          </c:extLst>
        </c:ser>
        <c:ser>
          <c:idx val="13"/>
          <c:order val="13"/>
          <c:tx>
            <c:strRef>
              <c:f>Faults!$B$15</c:f>
              <c:strCache>
                <c:ptCount val="1"/>
                <c:pt idx="0">
                  <c:v>Fault4</c:v>
                </c:pt>
              </c:strCache>
            </c:strRef>
          </c:tx>
          <c:spPr>
            <a:ln w="28575">
              <a:noFill/>
            </a:ln>
          </c:spPr>
          <c:marker>
            <c:symbol val="none"/>
          </c:marker>
          <c:xVal>
            <c:numRef>
              <c:f>Calcs!$A$188:$A$189</c:f>
              <c:numCache>
                <c:formatCode>General</c:formatCode>
                <c:ptCount val="2"/>
                <c:pt idx="0">
                  <c:v>1</c:v>
                </c:pt>
                <c:pt idx="1">
                  <c:v>1</c:v>
                </c:pt>
              </c:numCache>
            </c:numRef>
          </c:xVal>
          <c:yVal>
            <c:numRef>
              <c:f>Calcs!$B$190:$B$191</c:f>
              <c:numCache>
                <c:formatCode>General</c:formatCode>
                <c:ptCount val="2"/>
                <c:pt idx="0">
                  <c:v>4</c:v>
                </c:pt>
                <c:pt idx="1">
                  <c:v>1E-3</c:v>
                </c:pt>
              </c:numCache>
            </c:numRef>
          </c:yVal>
          <c:smooth val="0"/>
          <c:extLst>
            <c:ext xmlns:c16="http://schemas.microsoft.com/office/drawing/2014/chart" uri="{C3380CC4-5D6E-409C-BE32-E72D297353CC}">
              <c16:uniqueId val="{0000000D-3983-467B-8CD1-966033788416}"/>
            </c:ext>
          </c:extLst>
        </c:ser>
        <c:ser>
          <c:idx val="14"/>
          <c:order val="14"/>
          <c:tx>
            <c:strRef>
              <c:f>Faults!$B$19</c:f>
              <c:strCache>
                <c:ptCount val="1"/>
                <c:pt idx="0">
                  <c:v>Fault5</c:v>
                </c:pt>
              </c:strCache>
            </c:strRef>
          </c:tx>
          <c:spPr>
            <a:ln w="28575">
              <a:noFill/>
            </a:ln>
          </c:spPr>
          <c:marker>
            <c:symbol val="none"/>
          </c:marker>
          <c:xVal>
            <c:numRef>
              <c:f>Calcs!$A$192:$A$193</c:f>
              <c:numCache>
                <c:formatCode>General</c:formatCode>
                <c:ptCount val="2"/>
                <c:pt idx="0">
                  <c:v>1</c:v>
                </c:pt>
                <c:pt idx="1">
                  <c:v>1</c:v>
                </c:pt>
              </c:numCache>
            </c:numRef>
          </c:xVal>
          <c:yVal>
            <c:numRef>
              <c:f>Calcs!$B$194:$B$195</c:f>
              <c:numCache>
                <c:formatCode>General</c:formatCode>
                <c:ptCount val="2"/>
                <c:pt idx="0">
                  <c:v>4</c:v>
                </c:pt>
                <c:pt idx="1">
                  <c:v>1E-3</c:v>
                </c:pt>
              </c:numCache>
            </c:numRef>
          </c:yVal>
          <c:smooth val="0"/>
          <c:extLst>
            <c:ext xmlns:c16="http://schemas.microsoft.com/office/drawing/2014/chart" uri="{C3380CC4-5D6E-409C-BE32-E72D297353CC}">
              <c16:uniqueId val="{0000000E-3983-467B-8CD1-966033788416}"/>
            </c:ext>
          </c:extLst>
        </c:ser>
        <c:ser>
          <c:idx val="15"/>
          <c:order val="15"/>
          <c:tx>
            <c:strRef>
              <c:f>Faults!$B$23</c:f>
              <c:strCache>
                <c:ptCount val="1"/>
                <c:pt idx="0">
                  <c:v>Fault6</c:v>
                </c:pt>
              </c:strCache>
            </c:strRef>
          </c:tx>
          <c:spPr>
            <a:ln w="28575">
              <a:noFill/>
            </a:ln>
          </c:spPr>
          <c:marker>
            <c:symbol val="none"/>
          </c:marker>
          <c:xVal>
            <c:numRef>
              <c:f>Calcs!$A$196:$A$197</c:f>
              <c:numCache>
                <c:formatCode>General</c:formatCode>
                <c:ptCount val="2"/>
                <c:pt idx="0">
                  <c:v>1</c:v>
                </c:pt>
                <c:pt idx="1">
                  <c:v>1</c:v>
                </c:pt>
              </c:numCache>
            </c:numRef>
          </c:xVal>
          <c:yVal>
            <c:numRef>
              <c:f>Calcs!$B$198:$B$199</c:f>
              <c:numCache>
                <c:formatCode>General</c:formatCode>
                <c:ptCount val="2"/>
                <c:pt idx="0">
                  <c:v>4</c:v>
                </c:pt>
                <c:pt idx="1">
                  <c:v>1E-3</c:v>
                </c:pt>
              </c:numCache>
            </c:numRef>
          </c:yVal>
          <c:smooth val="0"/>
          <c:extLst>
            <c:ext xmlns:c16="http://schemas.microsoft.com/office/drawing/2014/chart" uri="{C3380CC4-5D6E-409C-BE32-E72D297353CC}">
              <c16:uniqueId val="{0000000F-3983-467B-8CD1-966033788416}"/>
            </c:ext>
          </c:extLst>
        </c:ser>
        <c:ser>
          <c:idx val="16"/>
          <c:order val="16"/>
          <c:tx>
            <c:strRef>
              <c:f>Faults!$B$27</c:f>
              <c:strCache>
                <c:ptCount val="1"/>
                <c:pt idx="0">
                  <c:v>Fault7</c:v>
                </c:pt>
              </c:strCache>
            </c:strRef>
          </c:tx>
          <c:spPr>
            <a:ln w="28575">
              <a:noFill/>
            </a:ln>
          </c:spPr>
          <c:marker>
            <c:symbol val="none"/>
          </c:marker>
          <c:xVal>
            <c:numRef>
              <c:f>Calcs!$A$200:$A$201</c:f>
              <c:numCache>
                <c:formatCode>General</c:formatCode>
                <c:ptCount val="2"/>
                <c:pt idx="0">
                  <c:v>1</c:v>
                </c:pt>
                <c:pt idx="1">
                  <c:v>1</c:v>
                </c:pt>
              </c:numCache>
            </c:numRef>
          </c:xVal>
          <c:yVal>
            <c:numRef>
              <c:f>Calcs!$B$202:$B$203</c:f>
              <c:numCache>
                <c:formatCode>General</c:formatCode>
                <c:ptCount val="2"/>
                <c:pt idx="0">
                  <c:v>4</c:v>
                </c:pt>
                <c:pt idx="1">
                  <c:v>1E-3</c:v>
                </c:pt>
              </c:numCache>
            </c:numRef>
          </c:yVal>
          <c:smooth val="0"/>
          <c:extLst>
            <c:ext xmlns:c16="http://schemas.microsoft.com/office/drawing/2014/chart" uri="{C3380CC4-5D6E-409C-BE32-E72D297353CC}">
              <c16:uniqueId val="{00000010-3983-467B-8CD1-966033788416}"/>
            </c:ext>
          </c:extLst>
        </c:ser>
        <c:ser>
          <c:idx val="17"/>
          <c:order val="17"/>
          <c:tx>
            <c:strRef>
              <c:f>Faults!$B$31</c:f>
              <c:strCache>
                <c:ptCount val="1"/>
                <c:pt idx="0">
                  <c:v>Fault8</c:v>
                </c:pt>
              </c:strCache>
            </c:strRef>
          </c:tx>
          <c:spPr>
            <a:ln w="28575">
              <a:noFill/>
            </a:ln>
          </c:spPr>
          <c:marker>
            <c:symbol val="none"/>
          </c:marker>
          <c:xVal>
            <c:numRef>
              <c:f>Calcs!$A$204:$A$205</c:f>
              <c:numCache>
                <c:formatCode>General</c:formatCode>
                <c:ptCount val="2"/>
                <c:pt idx="0">
                  <c:v>1</c:v>
                </c:pt>
                <c:pt idx="1">
                  <c:v>1</c:v>
                </c:pt>
              </c:numCache>
            </c:numRef>
          </c:xVal>
          <c:yVal>
            <c:numRef>
              <c:f>Calcs!$B$206:$B$207</c:f>
              <c:numCache>
                <c:formatCode>General</c:formatCode>
                <c:ptCount val="2"/>
                <c:pt idx="0">
                  <c:v>4</c:v>
                </c:pt>
                <c:pt idx="1">
                  <c:v>1E-3</c:v>
                </c:pt>
              </c:numCache>
            </c:numRef>
          </c:yVal>
          <c:smooth val="0"/>
          <c:extLst>
            <c:ext xmlns:c16="http://schemas.microsoft.com/office/drawing/2014/chart" uri="{C3380CC4-5D6E-409C-BE32-E72D297353CC}">
              <c16:uniqueId val="{00000011-3983-467B-8CD1-966033788416}"/>
            </c:ext>
          </c:extLst>
        </c:ser>
        <c:ser>
          <c:idx val="18"/>
          <c:order val="18"/>
          <c:tx>
            <c:strRef>
              <c:f>Faults!$B$35</c:f>
              <c:strCache>
                <c:ptCount val="1"/>
                <c:pt idx="0">
                  <c:v>Fault9</c:v>
                </c:pt>
              </c:strCache>
            </c:strRef>
          </c:tx>
          <c:spPr>
            <a:ln w="28575">
              <a:noFill/>
            </a:ln>
          </c:spPr>
          <c:marker>
            <c:symbol val="none"/>
          </c:marker>
          <c:xVal>
            <c:numRef>
              <c:f>Calcs!$A$208:$A$209</c:f>
              <c:numCache>
                <c:formatCode>General</c:formatCode>
                <c:ptCount val="2"/>
                <c:pt idx="0">
                  <c:v>1</c:v>
                </c:pt>
                <c:pt idx="1">
                  <c:v>1</c:v>
                </c:pt>
              </c:numCache>
            </c:numRef>
          </c:xVal>
          <c:yVal>
            <c:numRef>
              <c:f>Calcs!$B$210:$B$211</c:f>
              <c:numCache>
                <c:formatCode>General</c:formatCode>
                <c:ptCount val="2"/>
                <c:pt idx="0">
                  <c:v>4</c:v>
                </c:pt>
                <c:pt idx="1">
                  <c:v>1E-3</c:v>
                </c:pt>
              </c:numCache>
            </c:numRef>
          </c:yVal>
          <c:smooth val="0"/>
          <c:extLst>
            <c:ext xmlns:c16="http://schemas.microsoft.com/office/drawing/2014/chart" uri="{C3380CC4-5D6E-409C-BE32-E72D297353CC}">
              <c16:uniqueId val="{00000012-3983-467B-8CD1-966033788416}"/>
            </c:ext>
          </c:extLst>
        </c:ser>
        <c:ser>
          <c:idx val="19"/>
          <c:order val="19"/>
          <c:tx>
            <c:strRef>
              <c:f>Faults!$B$39</c:f>
              <c:strCache>
                <c:ptCount val="1"/>
                <c:pt idx="0">
                  <c:v>Fault10</c:v>
                </c:pt>
              </c:strCache>
            </c:strRef>
          </c:tx>
          <c:spPr>
            <a:ln w="28575">
              <a:noFill/>
            </a:ln>
          </c:spPr>
          <c:marker>
            <c:symbol val="none"/>
          </c:marker>
          <c:xVal>
            <c:numRef>
              <c:f>Calcs!$A$212:$A$213</c:f>
              <c:numCache>
                <c:formatCode>General</c:formatCode>
                <c:ptCount val="2"/>
                <c:pt idx="0">
                  <c:v>1</c:v>
                </c:pt>
                <c:pt idx="1">
                  <c:v>1</c:v>
                </c:pt>
              </c:numCache>
            </c:numRef>
          </c:xVal>
          <c:yVal>
            <c:numRef>
              <c:f>Calcs!$B$214:$B$215</c:f>
              <c:numCache>
                <c:formatCode>General</c:formatCode>
                <c:ptCount val="2"/>
                <c:pt idx="0">
                  <c:v>4</c:v>
                </c:pt>
                <c:pt idx="1">
                  <c:v>1E-3</c:v>
                </c:pt>
              </c:numCache>
            </c:numRef>
          </c:yVal>
          <c:smooth val="0"/>
          <c:extLst>
            <c:ext xmlns:c16="http://schemas.microsoft.com/office/drawing/2014/chart" uri="{C3380CC4-5D6E-409C-BE32-E72D297353CC}">
              <c16:uniqueId val="{00000013-3983-467B-8CD1-966033788416}"/>
            </c:ext>
          </c:extLst>
        </c:ser>
        <c:dLbls>
          <c:showLegendKey val="0"/>
          <c:showVal val="0"/>
          <c:showCatName val="0"/>
          <c:showSerName val="0"/>
          <c:showPercent val="0"/>
          <c:showBubbleSize val="0"/>
        </c:dLbls>
        <c:axId val="909114496"/>
        <c:axId val="1"/>
      </c:scatterChart>
      <c:valAx>
        <c:axId val="909114496"/>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800" b="0" i="0" u="none" strike="noStrike" baseline="0">
                    <a:solidFill>
                      <a:srgbClr val="000000"/>
                    </a:solidFill>
                    <a:latin typeface="Arial"/>
                    <a:ea typeface="Arial"/>
                    <a:cs typeface="Arial"/>
                  </a:defRPr>
                </a:pPr>
                <a:r>
                  <a:rPr lang="en-AU"/>
                  <a:t>Current (A)</a:t>
                </a:r>
              </a:p>
            </c:rich>
          </c:tx>
          <c:layout>
            <c:manualLayout>
              <c:xMode val="edge"/>
              <c:yMode val="edge"/>
              <c:x val="0.12142882139732532"/>
              <c:y val="0.943312800185691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minorUnit val="10"/>
      </c:valAx>
      <c:valAx>
        <c:axId val="1"/>
        <c:scaling>
          <c:orientation val="minMax"/>
          <c:max val="5"/>
          <c:min val="0"/>
        </c:scaling>
        <c:delete val="0"/>
        <c:axPos val="l"/>
        <c:majorGridlines>
          <c:spPr>
            <a:ln w="25400">
              <a:solidFill>
                <a:srgbClr val="C0C0C0"/>
              </a:solidFill>
              <a:prstDash val="solid"/>
            </a:ln>
          </c:spPr>
        </c:majorGridlines>
        <c:title>
          <c:tx>
            <c:rich>
              <a:bodyPr/>
              <a:lstStyle/>
              <a:p>
                <a:pPr>
                  <a:defRPr sz="800" b="0" i="0" u="none" strike="noStrike" baseline="0">
                    <a:solidFill>
                      <a:srgbClr val="000000"/>
                    </a:solidFill>
                    <a:latin typeface="Arial"/>
                    <a:ea typeface="Arial"/>
                    <a:cs typeface="Arial"/>
                  </a:defRPr>
                </a:pPr>
                <a:r>
                  <a:rPr lang="en-AU"/>
                  <a:t>Time (s)</a:t>
                </a:r>
              </a:p>
            </c:rich>
          </c:tx>
          <c:layout>
            <c:manualLayout>
              <c:xMode val="edge"/>
              <c:yMode val="edge"/>
              <c:x val="1.1904761904761904E-2"/>
              <c:y val="0.44671297040250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9114496"/>
        <c:crosses val="autoZero"/>
        <c:crossBetween val="midCat"/>
        <c:majorUnit val="1"/>
        <c:minorUnit val="0.1"/>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832402234636867E-3"/>
          <c:y val="1.0857763300760043E-2"/>
          <c:w val="0.96438547486033521"/>
          <c:h val="0.9782844733984799"/>
        </c:manualLayout>
      </c:layout>
      <c:lineChart>
        <c:grouping val="standard"/>
        <c:varyColors val="0"/>
        <c:dLbls>
          <c:showLegendKey val="0"/>
          <c:showVal val="0"/>
          <c:showCatName val="0"/>
          <c:showSerName val="0"/>
          <c:showPercent val="0"/>
          <c:showBubbleSize val="0"/>
        </c:dLbls>
        <c:marker val="1"/>
        <c:smooth val="0"/>
        <c:axId val="910642432"/>
        <c:axId val="1"/>
      </c:lineChart>
      <c:catAx>
        <c:axId val="910642432"/>
        <c:scaling>
          <c:orientation val="minMax"/>
        </c:scaling>
        <c:delete val="0"/>
        <c:axPos val="b"/>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910642432"/>
        <c:crosses val="autoZero"/>
        <c:crossBetween val="between"/>
      </c:valAx>
      <c:spPr>
        <a:solidFill>
          <a:srgbClr val="C0C0C0"/>
        </a:solidFill>
        <a:ln w="12700">
          <a:solidFill>
            <a:srgbClr val="808080"/>
          </a:solidFill>
          <a:prstDash val="solid"/>
        </a:ln>
      </c:spPr>
    </c:plotArea>
    <c:legend>
      <c:legendPos val="r"/>
      <c:layout>
        <c:manualLayout>
          <c:xMode val="edge"/>
          <c:yMode val="edge"/>
          <c:wMode val="edge"/>
          <c:hMode val="edge"/>
          <c:x val="0.97905027256208355"/>
          <c:y val="0.46362650747087986"/>
          <c:w val="0.99720668832479853"/>
          <c:h val="0.53745927183938602"/>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475"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200-000000000000}">
  <sheetPr codeName="Chart2"/>
  <sheetViews>
    <sheetView zoomScale="115" workbookViewId="0"/>
  </sheetViews>
  <pageMargins left="0.27559055118110237" right="0.51181102362204722" top="0.41" bottom="0.27559055118110237" header="0.19" footer="0.23622047244094491"/>
  <pageSetup paperSize="8" orientation="portrait" r:id="rId1"/>
  <headerFooter alignWithMargins="0">
    <oddHeader>&amp;R&amp;F</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Chart1"/>
  <sheetViews>
    <sheetView zoomScale="50" workbookViewId="0"/>
  </sheetViews>
  <pageMargins left="0.75" right="0.75" top="1" bottom="1" header="0.5" footer="0.5"/>
  <pageSetup paperSize="8" orientation="landscape" r:id="rId1"/>
  <headerFooter alignWithMargins="0"/>
  <drawing r:id="rId2"/>
</chartsheet>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fmlaLink="B6" lockText="1" noThreeD="1"/>
</file>

<file path=xl/ctrlProps/ctrlProp3.xml><?xml version="1.0" encoding="utf-8"?>
<formControlPr xmlns="http://schemas.microsoft.com/office/spreadsheetml/2009/9/main" objectType="CheckBox" fmlaLink="B10" lockText="1" noThreeD="1"/>
</file>

<file path=xl/ctrlProps/ctrlProp4.xml><?xml version="1.0" encoding="utf-8"?>
<formControlPr xmlns="http://schemas.microsoft.com/office/spreadsheetml/2009/9/main" objectType="CheckBox" fmlaLink="B14" lockText="1" noThreeD="1"/>
</file>

<file path=xl/ctrlProps/ctrlProp5.xml><?xml version="1.0" encoding="utf-8"?>
<formControlPr xmlns="http://schemas.microsoft.com/office/spreadsheetml/2009/9/main" objectType="CheckBox" fmlaLink="B18" lockText="1" noThreeD="1"/>
</file>

<file path=xl/ctrlProps/ctrlProp6.xml><?xml version="1.0" encoding="utf-8"?>
<formControlPr xmlns="http://schemas.microsoft.com/office/spreadsheetml/2009/9/main" objectType="CheckBox" fmlaLink="B22" lockText="1" noThreeD="1"/>
</file>

<file path=xl/ctrlProps/ctrlProp7.xml><?xml version="1.0" encoding="utf-8"?>
<formControlPr xmlns="http://schemas.microsoft.com/office/spreadsheetml/2009/9/main" objectType="CheckBox" fmlaLink="B26" lockText="1" noThreeD="1"/>
</file>

<file path=xl/ctrlProps/ctrlProp8.xml><?xml version="1.0" encoding="utf-8"?>
<formControlPr xmlns="http://schemas.microsoft.com/office/spreadsheetml/2009/9/main" objectType="CheckBox" fmlaLink="B30" lockText="1" noThreeD="1"/>
</file>

<file path=xl/ctrlProps/ctrlProp9.xml><?xml version="1.0" encoding="utf-8"?>
<formControlPr xmlns="http://schemas.microsoft.com/office/spreadsheetml/2009/9/main" objectType="CheckBox" fmlaLink="B34" lockText="1" noThreeD="1"/>
</file>

<file path=xl/ctrlProps/ctrlProp10.xml><?xml version="1.0" encoding="utf-8"?>
<formControlPr xmlns="http://schemas.microsoft.com/office/spreadsheetml/2009/9/main" objectType="CheckBox" fmlaLink="B38" lockText="1" noThreeD="1"/>
</file>

<file path=xl/ctrlProps/ctrlProp11.xml><?xml version="1.0" encoding="utf-8"?>
<formControlPr xmlns="http://schemas.microsoft.com/office/spreadsheetml/2009/9/main" objectType="CheckBox" fmlaLink="B42" lockText="1" noThreeD="1"/>
</file>

<file path=xl/ctrlProps/ctrlProp12.xml><?xml version="1.0" encoding="utf-8"?>
<formControlPr xmlns="http://schemas.microsoft.com/office/spreadsheetml/2009/9/main" objectType="CheckBox" fmlaLink="B46" lockText="1" noThreeD="1"/>
</file>

<file path=xl/ctrlProps/ctrlProp13.xml><?xml version="1.0" encoding="utf-8"?>
<formControlPr xmlns="http://schemas.microsoft.com/office/spreadsheetml/2009/9/main" objectType="CheckBox" fmlaLink="B50" lockText="1" noThreeD="1"/>
</file>

<file path=xl/ctrlProps/ctrlProp14.xml><?xml version="1.0" encoding="utf-8"?>
<formControlPr xmlns="http://schemas.microsoft.com/office/spreadsheetml/2009/9/main" objectType="CheckBox" fmlaLink="B54" lockText="1" noThreeD="1"/>
</file>

<file path=xl/ctrlProps/ctrlProp15.xml><?xml version="1.0" encoding="utf-8"?>
<formControlPr xmlns="http://schemas.microsoft.com/office/spreadsheetml/2009/9/main" objectType="CheckBox" fmlaLink="B58" lockText="1" noThreeD="1"/>
</file>

<file path=xl/ctrlProps/ctrlProp16.xml><?xml version="1.0" encoding="utf-8"?>
<formControlPr xmlns="http://schemas.microsoft.com/office/spreadsheetml/2009/9/main" objectType="CheckBox" fmlaLink="B62" lockText="1" noThreeD="1"/>
</file>

<file path=xl/ctrlProps/ctrlProp17.xml><?xml version="1.0" encoding="utf-8"?>
<formControlPr xmlns="http://schemas.microsoft.com/office/spreadsheetml/2009/9/main" objectType="CheckBox" fmlaLink="B66" lockText="1" noThreeD="1"/>
</file>

<file path=xl/ctrlProps/ctrlProp18.xml><?xml version="1.0" encoding="utf-8"?>
<formControlPr xmlns="http://schemas.microsoft.com/office/spreadsheetml/2009/9/main" objectType="CheckBox" fmlaLink="B70" lockText="1" noThreeD="1"/>
</file>

<file path=xl/ctrlProps/ctrlProp19.xml><?xml version="1.0" encoding="utf-8"?>
<formControlPr xmlns="http://schemas.microsoft.com/office/spreadsheetml/2009/9/main" objectType="CheckBox" fmlaLink="B74" lockText="1" noThreeD="1"/>
</file>

<file path=xl/ctrlProps/ctrlProp20.xml><?xml version="1.0" encoding="utf-8"?>
<formControlPr xmlns="http://schemas.microsoft.com/office/spreadsheetml/2009/9/main" objectType="CheckBox" fmlaLink="B78" lockText="1" noThreeD="1"/>
</file>

<file path=xl/ctrlProps/ctrlProp21.xml><?xml version="1.0" encoding="utf-8"?>
<formControlPr xmlns="http://schemas.microsoft.com/office/spreadsheetml/2009/9/main" objectType="Drop" dropLines="11" dropStyle="combo" dx="22" fmlaLink="$G$3" fmlaRange="'Relay 1'!$AG$2:$AG$16" noThreeD="1" sel="6" val="4"/>
</file>

<file path=xl/ctrlProps/ctrlProp22.xml><?xml version="1.0" encoding="utf-8"?>
<formControlPr xmlns="http://schemas.microsoft.com/office/spreadsheetml/2009/9/main" objectType="Drop" dropLines="11" dropStyle="combo" dx="22" fmlaLink="$G$7" fmlaRange="'Relay 1'!$AG$2:$AG$16" noThreeD="1" sel="6" val="3"/>
</file>

<file path=xl/ctrlProps/ctrlProp23.xml><?xml version="1.0" encoding="utf-8"?>
<formControlPr xmlns="http://schemas.microsoft.com/office/spreadsheetml/2009/9/main" objectType="Drop" dropLines="11" dropStyle="combo" dx="22" fmlaLink="$G$11" fmlaRange="'Relay 1'!$AG$2:$AG$16" noThreeD="1" sel="1" val="0"/>
</file>

<file path=xl/ctrlProps/ctrlProp24.xml><?xml version="1.0" encoding="utf-8"?>
<formControlPr xmlns="http://schemas.microsoft.com/office/spreadsheetml/2009/9/main" objectType="Drop" dropLines="11" dropStyle="combo" dx="22" fmlaLink="$G$15" fmlaRange="'Relay 1'!$AG$2:$AG$16" noThreeD="1" sel="1" val="0"/>
</file>

<file path=xl/ctrlProps/ctrlProp25.xml><?xml version="1.0" encoding="utf-8"?>
<formControlPr xmlns="http://schemas.microsoft.com/office/spreadsheetml/2009/9/main" objectType="Drop" dropLines="11" dropStyle="combo" dx="22" fmlaLink="$G$19" fmlaRange="'Relay 1'!$AG$2:$AG$16" noThreeD="1" sel="1" val="0"/>
</file>

<file path=xl/ctrlProps/ctrlProp26.xml><?xml version="1.0" encoding="utf-8"?>
<formControlPr xmlns="http://schemas.microsoft.com/office/spreadsheetml/2009/9/main" objectType="Drop" dropLines="11" dropStyle="combo" dx="22" fmlaLink="$G$23" fmlaRange="'Relay 1'!$AG$2:$AG$16" noThreeD="1" sel="4" val="3"/>
</file>

<file path=xl/ctrlProps/ctrlProp27.xml><?xml version="1.0" encoding="utf-8"?>
<formControlPr xmlns="http://schemas.microsoft.com/office/spreadsheetml/2009/9/main" objectType="Drop" dropLines="11" dropStyle="combo" dx="22" fmlaLink="$G$27" fmlaRange="'Relay 1'!$AG$2:$AG$16" noThreeD="1" sel="7" val="0"/>
</file>

<file path=xl/ctrlProps/ctrlProp28.xml><?xml version="1.0" encoding="utf-8"?>
<formControlPr xmlns="http://schemas.microsoft.com/office/spreadsheetml/2009/9/main" objectType="Drop" dropLines="11" dropStyle="combo" dx="22" fmlaLink="$G$31" fmlaRange="'Relay 1'!$AG$2:$AG$16" noThreeD="1" sel="4" val="0"/>
</file>

<file path=xl/ctrlProps/ctrlProp29.xml><?xml version="1.0" encoding="utf-8"?>
<formControlPr xmlns="http://schemas.microsoft.com/office/spreadsheetml/2009/9/main" objectType="Drop" dropLines="11" dropStyle="combo" dx="22" fmlaLink="$G$35" fmlaRange="'Relay 1'!$AG$2:$AG$16" noThreeD="1" sel="1" val="0"/>
</file>

<file path=xl/ctrlProps/ctrlProp30.xml><?xml version="1.0" encoding="utf-8"?>
<formControlPr xmlns="http://schemas.microsoft.com/office/spreadsheetml/2009/9/main" objectType="Drop" dropLines="11" dropStyle="combo" dx="22" fmlaLink="$G$39" fmlaRange="'Relay 1'!$AG$2:$AG$16" noThreeD="1" sel="2" val="0"/>
</file>

<file path=xl/ctrlProps/ctrlProp31.xml><?xml version="1.0" encoding="utf-8"?>
<formControlPr xmlns="http://schemas.microsoft.com/office/spreadsheetml/2009/9/main" objectType="Drop" dropLines="11" dropStyle="combo" dx="22" fmlaLink="$G$43" fmlaRange="'Relay 1'!$AG$2:$AG$16" noThreeD="1" sel="2" val="0"/>
</file>

<file path=xl/ctrlProps/ctrlProp32.xml><?xml version="1.0" encoding="utf-8"?>
<formControlPr xmlns="http://schemas.microsoft.com/office/spreadsheetml/2009/9/main" objectType="Drop" dropLines="11" dropStyle="combo" dx="22" fmlaLink="$G$47" fmlaRange="'Relay 1'!$AG$2:$AG$16" noThreeD="1" sel="2" val="0"/>
</file>

<file path=xl/ctrlProps/ctrlProp33.xml><?xml version="1.0" encoding="utf-8"?>
<formControlPr xmlns="http://schemas.microsoft.com/office/spreadsheetml/2009/9/main" objectType="Drop" dropLines="11" dropStyle="combo" dx="22" fmlaLink="$G$51" fmlaRange="'Relay 1'!$AG$2:$AG$16" noThreeD="1" sel="4" val="0"/>
</file>

<file path=xl/ctrlProps/ctrlProp34.xml><?xml version="1.0" encoding="utf-8"?>
<formControlPr xmlns="http://schemas.microsoft.com/office/spreadsheetml/2009/9/main" objectType="Drop" dropLines="11" dropStyle="combo" dx="22" fmlaLink="$G$55" fmlaRange="'Relay 1'!$AG$2:$AG$16" noThreeD="1" sel="5" val="0"/>
</file>

<file path=xl/ctrlProps/ctrlProp35.xml><?xml version="1.0" encoding="utf-8"?>
<formControlPr xmlns="http://schemas.microsoft.com/office/spreadsheetml/2009/9/main" objectType="Drop" dropLines="11" dropStyle="combo" dx="22" fmlaLink="$G$59" fmlaRange="'Relay 1'!$AG$2:$AG$16" noThreeD="1" sel="6" val="0"/>
</file>

<file path=xl/ctrlProps/ctrlProp36.xml><?xml version="1.0" encoding="utf-8"?>
<formControlPr xmlns="http://schemas.microsoft.com/office/spreadsheetml/2009/9/main" objectType="Drop" dropLines="11" dropStyle="combo" dx="22" fmlaLink="$G$63" fmlaRange="'Relay 1'!$AG$2:$AG$16" noThreeD="1" sel="7" val="0"/>
</file>

<file path=xl/ctrlProps/ctrlProp37.xml><?xml version="1.0" encoding="utf-8"?>
<formControlPr xmlns="http://schemas.microsoft.com/office/spreadsheetml/2009/9/main" objectType="Drop" dropLines="11" dropStyle="combo" dx="22" fmlaLink="$G$67" fmlaRange="'Relay 1'!$AG$2:$AG$16" noThreeD="1" sel="8" val="0"/>
</file>

<file path=xl/ctrlProps/ctrlProp38.xml><?xml version="1.0" encoding="utf-8"?>
<formControlPr xmlns="http://schemas.microsoft.com/office/spreadsheetml/2009/9/main" objectType="Drop" dropLines="11" dropStyle="combo" dx="22" fmlaLink="$G$71" fmlaRange="'Relay 1'!$AG$2:$AG$16" noThreeD="1" sel="9" val="0"/>
</file>

<file path=xl/ctrlProps/ctrlProp39.xml><?xml version="1.0" encoding="utf-8"?>
<formControlPr xmlns="http://schemas.microsoft.com/office/spreadsheetml/2009/9/main" objectType="Drop" dropLines="11" dropStyle="combo" dx="22" fmlaLink="$G$75" fmlaRange="'Relay 1'!$AG$2:$AG$16" noThreeD="1" sel="10" val="0"/>
</file>

<file path=xl/ctrlProps/ctrlProp40.xml><?xml version="1.0" encoding="utf-8"?>
<formControlPr xmlns="http://schemas.microsoft.com/office/spreadsheetml/2009/9/main" objectType="Drop" dropLines="11" dropStyle="combo" dx="22" fmlaLink="$G$79" fmlaRange="'Relay 1'!$AG$2:$AG$16" noThreeD="1" sel="14" val="4"/>
</file>

<file path=xl/ctrlProps/ctrlProp41.xml><?xml version="1.0" encoding="utf-8"?>
<formControlPr xmlns="http://schemas.microsoft.com/office/spreadsheetml/2009/9/main" objectType="Drop" dropLines="11" dropStyle="combo" dx="22" fmlaLink="$G$4" fmlaRange="'Relay 1'!$AD$2:$AD$12" noThreeD="1" sel="1" val="0"/>
</file>

<file path=xl/ctrlProps/ctrlProp42.xml><?xml version="1.0" encoding="utf-8"?>
<formControlPr xmlns="http://schemas.microsoft.com/office/spreadsheetml/2009/9/main" objectType="Drop" dropLines="11" dropStyle="combo" dx="22" fmlaLink="$G$8" fmlaRange="'Relay 1'!$AD$2:$AD$12" noThreeD="1" sel="1" val="0"/>
</file>

<file path=xl/ctrlProps/ctrlProp43.xml><?xml version="1.0" encoding="utf-8"?>
<formControlPr xmlns="http://schemas.microsoft.com/office/spreadsheetml/2009/9/main" objectType="Drop" dropLines="11" dropStyle="combo" dx="22" fmlaLink="$G$12" fmlaRange="'Relay 1'!$AD$2:$AD$12" noThreeD="1" sel="1" val="0"/>
</file>

<file path=xl/ctrlProps/ctrlProp44.xml><?xml version="1.0" encoding="utf-8"?>
<formControlPr xmlns="http://schemas.microsoft.com/office/spreadsheetml/2009/9/main" objectType="Drop" dropLines="11" dropStyle="combo" dx="22" fmlaLink="$G$16" fmlaRange="'Relay 1'!$AD$2:$AD$12" noThreeD="1" sel="1" val="0"/>
</file>

<file path=xl/ctrlProps/ctrlProp45.xml><?xml version="1.0" encoding="utf-8"?>
<formControlPr xmlns="http://schemas.microsoft.com/office/spreadsheetml/2009/9/main" objectType="Drop" dropLines="11" dropStyle="combo" dx="22" fmlaLink="$G$20" fmlaRange="'Relay 1'!$AD$2:$AD$12" noThreeD="1" sel="1" val="0"/>
</file>

<file path=xl/ctrlProps/ctrlProp46.xml><?xml version="1.0" encoding="utf-8"?>
<formControlPr xmlns="http://schemas.microsoft.com/office/spreadsheetml/2009/9/main" objectType="Drop" dropLines="11" dropStyle="combo" dx="22" fmlaLink="$G$24" fmlaRange="'Relay 1'!$AD$2:$AD$12" noThreeD="1" sel="1" val="0"/>
</file>

<file path=xl/ctrlProps/ctrlProp47.xml><?xml version="1.0" encoding="utf-8"?>
<formControlPr xmlns="http://schemas.microsoft.com/office/spreadsheetml/2009/9/main" objectType="Drop" dropLines="11" dropStyle="combo" dx="22" fmlaLink="$G$28" fmlaRange="'Relay 1'!$AD$2:$AD$12" noThreeD="1" sel="1" val="0"/>
</file>

<file path=xl/ctrlProps/ctrlProp48.xml><?xml version="1.0" encoding="utf-8"?>
<formControlPr xmlns="http://schemas.microsoft.com/office/spreadsheetml/2009/9/main" objectType="Drop" dropLines="11" dropStyle="combo" dx="22" fmlaLink="$G$32" fmlaRange="'Relay 1'!$AD$2:$AD$12" noThreeD="1" sel="1" val="0"/>
</file>

<file path=xl/ctrlProps/ctrlProp49.xml><?xml version="1.0" encoding="utf-8"?>
<formControlPr xmlns="http://schemas.microsoft.com/office/spreadsheetml/2009/9/main" objectType="Drop" dropLines="11" dropStyle="combo" dx="22" fmlaLink="$G$36" fmlaRange="'Relay 1'!$AD$2:$AD$12" noThreeD="1" sel="1" val="0"/>
</file>

<file path=xl/ctrlProps/ctrlProp50.xml><?xml version="1.0" encoding="utf-8"?>
<formControlPr xmlns="http://schemas.microsoft.com/office/spreadsheetml/2009/9/main" objectType="Drop" dropLines="11" dropStyle="combo" dx="22" fmlaLink="$G$40" fmlaRange="'Relay 1'!$AD$2:$AD$12" noThreeD="1" sel="1" val="0"/>
</file>

<file path=xl/ctrlProps/ctrlProp51.xml><?xml version="1.0" encoding="utf-8"?>
<formControlPr xmlns="http://schemas.microsoft.com/office/spreadsheetml/2009/9/main" objectType="Drop" dropLines="11" dropStyle="combo" dx="22" fmlaLink="$G$44" fmlaRange="'Relay 1'!$AD$2:$AD$12" noThreeD="1" sel="1" val="0"/>
</file>

<file path=xl/ctrlProps/ctrlProp52.xml><?xml version="1.0" encoding="utf-8"?>
<formControlPr xmlns="http://schemas.microsoft.com/office/spreadsheetml/2009/9/main" objectType="Drop" dropLines="11" dropStyle="combo" dx="22" fmlaLink="$G$48" fmlaRange="'Relay 1'!$AD$2:$AD$12" noThreeD="1" sel="1" val="0"/>
</file>

<file path=xl/ctrlProps/ctrlProp53.xml><?xml version="1.0" encoding="utf-8"?>
<formControlPr xmlns="http://schemas.microsoft.com/office/spreadsheetml/2009/9/main" objectType="Drop" dropLines="11" dropStyle="combo" dx="22" fmlaLink="$G$52" fmlaRange="'Relay 1'!$AD$2:$AD$12" noThreeD="1" sel="1" val="0"/>
</file>

<file path=xl/ctrlProps/ctrlProp54.xml><?xml version="1.0" encoding="utf-8"?>
<formControlPr xmlns="http://schemas.microsoft.com/office/spreadsheetml/2009/9/main" objectType="Drop" dropLines="11" dropStyle="combo" dx="22" fmlaLink="$G$56" fmlaRange="'Relay 1'!$AD$2:$AD$12" noThreeD="1" sel="1" val="0"/>
</file>

<file path=xl/ctrlProps/ctrlProp55.xml><?xml version="1.0" encoding="utf-8"?>
<formControlPr xmlns="http://schemas.microsoft.com/office/spreadsheetml/2009/9/main" objectType="Drop" dropLines="11" dropStyle="combo" dx="22" fmlaLink="$G$60" fmlaRange="'Relay 1'!$AD$2:$AD$12" noThreeD="1" sel="1" val="0"/>
</file>

<file path=xl/ctrlProps/ctrlProp56.xml><?xml version="1.0" encoding="utf-8"?>
<formControlPr xmlns="http://schemas.microsoft.com/office/spreadsheetml/2009/9/main" objectType="Drop" dropLines="11" dropStyle="combo" dx="22" fmlaLink="$G$64" fmlaRange="'Relay 1'!$AD$2:$AD$12" noThreeD="1" sel="1" val="0"/>
</file>

<file path=xl/ctrlProps/ctrlProp57.xml><?xml version="1.0" encoding="utf-8"?>
<formControlPr xmlns="http://schemas.microsoft.com/office/spreadsheetml/2009/9/main" objectType="Drop" dropLines="11" dropStyle="combo" dx="22" fmlaLink="$G$68" fmlaRange="'Relay 1'!$AD$2:$AD$12" noThreeD="1" sel="1" val="0"/>
</file>

<file path=xl/ctrlProps/ctrlProp58.xml><?xml version="1.0" encoding="utf-8"?>
<formControlPr xmlns="http://schemas.microsoft.com/office/spreadsheetml/2009/9/main" objectType="Drop" dropLines="11" dropStyle="combo" dx="22" fmlaLink="$G$72" fmlaRange="'Relay 1'!$AD$2:$AD$12" noThreeD="1" sel="1" val="0"/>
</file>

<file path=xl/ctrlProps/ctrlProp59.xml><?xml version="1.0" encoding="utf-8"?>
<formControlPr xmlns="http://schemas.microsoft.com/office/spreadsheetml/2009/9/main" objectType="Drop" dropLines="11" dropStyle="combo" dx="22" fmlaLink="$G$76" fmlaRange="'Relay 1'!$AD$2:$AD$12" noThreeD="1" sel="1" val="0"/>
</file>

<file path=xl/ctrlProps/ctrlProp60.xml><?xml version="1.0" encoding="utf-8"?>
<formControlPr xmlns="http://schemas.microsoft.com/office/spreadsheetml/2009/9/main" objectType="Drop" dropLines="11" dropStyle="combo" dx="22" fmlaLink="$G$80" fmlaRange="'Relay 1'!$AD$2:$AD$12" noThreeD="1" sel="1" val="0"/>
</file>

<file path=xl/ctrlProps/ctrlProp61.xml><?xml version="1.0" encoding="utf-8"?>
<formControlPr xmlns="http://schemas.microsoft.com/office/spreadsheetml/2009/9/main" objectType="Drop" dropStyle="combo" dx="22" fmlaLink="'Relay 1'!B4" fmlaRange="List!$A:$A" noThreeD="1" sel="1" val="0"/>
</file>

<file path=xl/ctrlProps/ctrlProp62.xml><?xml version="1.0" encoding="utf-8"?>
<formControlPr xmlns="http://schemas.microsoft.com/office/spreadsheetml/2009/9/main" objectType="Drop" dropLines="4" dropStyle="combo" dx="22" fmlaLink="'Relay 1'!B11" fmlaRange="'Relay 1'!$AB:$AB" noThreeD="1" sel="1" val="0"/>
</file>

<file path=xl/ctrlProps/ctrlProp63.xml><?xml version="1.0" encoding="utf-8"?>
<formControlPr xmlns="http://schemas.microsoft.com/office/spreadsheetml/2009/9/main" objectType="Drop" dropLines="11" dropStyle="combo" dx="22" fmlaLink="'Relay 1'!$L$6" fmlaRange="'Relay 1'!$AD$2:$AD$12" noThreeD="1" sel="1" val="0"/>
</file>

<file path=xl/ctrlProps/ctrlProp64.xml><?xml version="1.0" encoding="utf-8"?>
<formControlPr xmlns="http://schemas.microsoft.com/office/spreadsheetml/2009/9/main" objectType="Drop" dropLines="21" dropStyle="combo" dx="22" fmlaLink="'Relay 1'!$I$7" fmlaRange="'Relay 1'!$AC$2:$AC$22" noThreeD="1" sel="1" val="0"/>
</file>

<file path=xl/ctrlProps/ctrlProp65.xml><?xml version="1.0" encoding="utf-8"?>
<formControlPr xmlns="http://schemas.microsoft.com/office/spreadsheetml/2009/9/main" objectType="Drop" dropLines="21" dropStyle="combo" dx="22" fmlaLink="'Relay 1'!$I$8" fmlaRange="'Relay 1'!$AC$2:$AC$22" noThreeD="1" sel="1" val="0"/>
</file>

<file path=xl/ctrlProps/ctrlProp66.xml><?xml version="1.0" encoding="utf-8"?>
<formControlPr xmlns="http://schemas.microsoft.com/office/spreadsheetml/2009/9/main" objectType="Drop" dropLines="21" dropStyle="combo" dx="22" fmlaLink="'Relay 1'!$I$9" fmlaRange="'Relay 1'!$AC$2:$AC$22" noThreeD="1" sel="1" val="0"/>
</file>

<file path=xl/ctrlProps/ctrlProp67.xml><?xml version="1.0" encoding="utf-8"?>
<formControlPr xmlns="http://schemas.microsoft.com/office/spreadsheetml/2009/9/main" objectType="Drop" dropStyle="combo" dx="22" fmlaLink="'Relay 2'!B4" fmlaRange="List!$A:$A" noThreeD="1" sel="1" val="0"/>
</file>

<file path=xl/ctrlProps/ctrlProp68.xml><?xml version="1.0" encoding="utf-8"?>
<formControlPr xmlns="http://schemas.microsoft.com/office/spreadsheetml/2009/9/main" objectType="Drop" dropLines="4" dropStyle="combo" dx="22" fmlaLink="'Relay 2'!B11" fmlaRange="'Relay 1'!$AB:$AB" noThreeD="1" sel="1" val="0"/>
</file>

<file path=xl/ctrlProps/ctrlProp69.xml><?xml version="1.0" encoding="utf-8"?>
<formControlPr xmlns="http://schemas.microsoft.com/office/spreadsheetml/2009/9/main" objectType="Drop" dropLines="11" dropStyle="combo" dx="22" fmlaLink="'Relay 2'!$L$6" fmlaRange="'Relay 1'!$AD$2:$AD$12" noThreeD="1" sel="2" val="0"/>
</file>

<file path=xl/ctrlProps/ctrlProp70.xml><?xml version="1.0" encoding="utf-8"?>
<formControlPr xmlns="http://schemas.microsoft.com/office/spreadsheetml/2009/9/main" objectType="Drop" dropLines="21" dropStyle="combo" dx="22" fmlaLink="'Relay 2'!$I$7" fmlaRange="'Relay 1'!$AC$2:$AC$22" noThreeD="1" sel="6" val="0"/>
</file>

<file path=xl/ctrlProps/ctrlProp71.xml><?xml version="1.0" encoding="utf-8"?>
<formControlPr xmlns="http://schemas.microsoft.com/office/spreadsheetml/2009/9/main" objectType="Drop" dropLines="21" dropStyle="combo" dx="22" fmlaLink="'Relay 2'!$I$8" fmlaRange="'Relay 1'!$AC$2:$AC$22" noThreeD="1" sel="1" val="0"/>
</file>

<file path=xl/ctrlProps/ctrlProp72.xml><?xml version="1.0" encoding="utf-8"?>
<formControlPr xmlns="http://schemas.microsoft.com/office/spreadsheetml/2009/9/main" objectType="Drop" dropLines="21" dropStyle="combo" dx="22" fmlaLink="'Relay 2'!$I$9" fmlaRange="'Relay 1'!$AC$2:$AC$22" noThreeD="1" sel="1" val="0"/>
</file>

<file path=xl/ctrlProps/ctrlProp73.xml><?xml version="1.0" encoding="utf-8"?>
<formControlPr xmlns="http://schemas.microsoft.com/office/spreadsheetml/2009/9/main" objectType="Drop" dropStyle="combo" dx="22" fmlaLink="'Relay 3'!B4" fmlaRange="List!$A:$A" noThreeD="1" sel="1" val="0"/>
</file>

<file path=xl/ctrlProps/ctrlProp74.xml><?xml version="1.0" encoding="utf-8"?>
<formControlPr xmlns="http://schemas.microsoft.com/office/spreadsheetml/2009/9/main" objectType="Drop" dropLines="4" dropStyle="combo" dx="22" fmlaLink="'Relay 3'!B11" fmlaRange="'Relay 1'!$AB:$AB" noThreeD="1" sel="2" val="0"/>
</file>

<file path=xl/ctrlProps/ctrlProp75.xml><?xml version="1.0" encoding="utf-8"?>
<formControlPr xmlns="http://schemas.microsoft.com/office/spreadsheetml/2009/9/main" objectType="Drop" dropLines="11" dropStyle="combo" dx="22" fmlaLink="'Relay 3'!$L$6" fmlaRange="'Relay 1'!$AD$2:$AD$12" noThreeD="1" sel="1" val="0"/>
</file>

<file path=xl/ctrlProps/ctrlProp76.xml><?xml version="1.0" encoding="utf-8"?>
<formControlPr xmlns="http://schemas.microsoft.com/office/spreadsheetml/2009/9/main" objectType="Drop" dropLines="21" dropStyle="combo" dx="22" fmlaLink="'Relay 3'!$I$7" fmlaRange="'Relay 1'!$AC$2:$AC$22" noThreeD="1" sel="1" val="0"/>
</file>

<file path=xl/ctrlProps/ctrlProp77.xml><?xml version="1.0" encoding="utf-8"?>
<formControlPr xmlns="http://schemas.microsoft.com/office/spreadsheetml/2009/9/main" objectType="Drop" dropLines="21" dropStyle="combo" dx="22" fmlaLink="'Relay 3'!$I$8" fmlaRange="'Relay 1'!$AC$2:$AC$22" noThreeD="1" sel="1" val="0"/>
</file>

<file path=xl/ctrlProps/ctrlProp78.xml><?xml version="1.0" encoding="utf-8"?>
<formControlPr xmlns="http://schemas.microsoft.com/office/spreadsheetml/2009/9/main" objectType="Drop" dropLines="21" dropStyle="combo" dx="22" fmlaLink="'Relay 3'!$I$9" fmlaRange="'Relay 1'!$AC$2:$AC$22" noThreeD="1" sel="1" val="0"/>
</file>

<file path=xl/ctrlProps/ctrlProp79.xml><?xml version="1.0" encoding="utf-8"?>
<formControlPr xmlns="http://schemas.microsoft.com/office/spreadsheetml/2009/9/main" objectType="Drop" dropStyle="combo" dx="22" fmlaLink="'Relay 4'!B4" fmlaRange="List!$A:$A" noThreeD="1" sel="15" val="0"/>
</file>

<file path=xl/ctrlProps/ctrlProp80.xml><?xml version="1.0" encoding="utf-8"?>
<formControlPr xmlns="http://schemas.microsoft.com/office/spreadsheetml/2009/9/main" objectType="Drop" dropLines="4" dropStyle="combo" dx="22" fmlaLink="'Relay 4'!B11" fmlaRange="'Relay 1'!$AB:$AB" noThreeD="1" sel="2" val="0"/>
</file>

<file path=xl/ctrlProps/ctrlProp81.xml><?xml version="1.0" encoding="utf-8"?>
<formControlPr xmlns="http://schemas.microsoft.com/office/spreadsheetml/2009/9/main" objectType="Drop" dropLines="11" dropStyle="combo" dx="22" fmlaLink="'Relay 4'!$L$6" fmlaRange="'Relay 1'!$AD$2:$AD$12" noThreeD="1" sel="1" val="0"/>
</file>

<file path=xl/ctrlProps/ctrlProp82.xml><?xml version="1.0" encoding="utf-8"?>
<formControlPr xmlns="http://schemas.microsoft.com/office/spreadsheetml/2009/9/main" objectType="Drop" dropLines="21" dropStyle="combo" dx="22" fmlaLink="'Relay 4'!$I$7" fmlaRange="'Relay 1'!$AC$2:$AC$22" noThreeD="1" sel="1" val="0"/>
</file>

<file path=xl/ctrlProps/ctrlProp83.xml><?xml version="1.0" encoding="utf-8"?>
<formControlPr xmlns="http://schemas.microsoft.com/office/spreadsheetml/2009/9/main" objectType="Drop" dropLines="21" dropStyle="combo" dx="22" fmlaLink="'Relay 4'!$I$8" fmlaRange="'Relay 1'!$AC$2:$AC$22" noThreeD="1" sel="1" val="0"/>
</file>

<file path=xl/ctrlProps/ctrlProp84.xml><?xml version="1.0" encoding="utf-8"?>
<formControlPr xmlns="http://schemas.microsoft.com/office/spreadsheetml/2009/9/main" objectType="Drop" dropLines="21" dropStyle="combo" dx="22" fmlaLink="'Relay 4'!$I$9" fmlaRange="'Relay 1'!$AC$2:$AC$22" noThreeD="1" sel="1" val="0"/>
</file>

<file path=xl/ctrlProps/ctrlProp85.xml><?xml version="1.0" encoding="utf-8"?>
<formControlPr xmlns="http://schemas.microsoft.com/office/spreadsheetml/2009/9/main" objectType="Drop" dropStyle="combo" dx="22" fmlaLink="'Relay 5'!B4" fmlaRange="List!$A:$A" noThreeD="1" sel="1" val="0"/>
</file>

<file path=xl/ctrlProps/ctrlProp86.xml><?xml version="1.0" encoding="utf-8"?>
<formControlPr xmlns="http://schemas.microsoft.com/office/spreadsheetml/2009/9/main" objectType="Drop" dropLines="4" dropStyle="combo" dx="22" fmlaLink="'Relay 5'!B11" fmlaRange="'Relay 1'!$AB:$AB" noThreeD="1" sel="1" val="0"/>
</file>

<file path=xl/ctrlProps/ctrlProp87.xml><?xml version="1.0" encoding="utf-8"?>
<formControlPr xmlns="http://schemas.microsoft.com/office/spreadsheetml/2009/9/main" objectType="Drop" dropLines="11" dropStyle="combo" dx="22" fmlaLink="'Relay 5'!$L$6" fmlaRange="'Relay 1'!$AD$2:$AD$12" noThreeD="1" sel="1" val="0"/>
</file>

<file path=xl/ctrlProps/ctrlProp88.xml><?xml version="1.0" encoding="utf-8"?>
<formControlPr xmlns="http://schemas.microsoft.com/office/spreadsheetml/2009/9/main" objectType="Drop" dropLines="21" dropStyle="combo" dx="22" fmlaLink="'Relay 5'!$I$7" fmlaRange="'Relay 1'!$AC$2:$AC$22" noThreeD="1" sel="1" val="0"/>
</file>

<file path=xl/ctrlProps/ctrlProp89.xml><?xml version="1.0" encoding="utf-8"?>
<formControlPr xmlns="http://schemas.microsoft.com/office/spreadsheetml/2009/9/main" objectType="Drop" dropLines="21" dropStyle="combo" dx="22" fmlaLink="'Relay 5'!$I$8" fmlaRange="'Relay 1'!$AC$2:$AC$22" noThreeD="1" sel="1" val="0"/>
</file>

<file path=xl/ctrlProps/ctrlProp90.xml><?xml version="1.0" encoding="utf-8"?>
<formControlPr xmlns="http://schemas.microsoft.com/office/spreadsheetml/2009/9/main" objectType="Drop" dropLines="21" dropStyle="combo" dx="22" fmlaLink="'Relay 5'!$I$9" fmlaRange="'Relay 1'!$AC$2:$AC$22" noThreeD="1" sel="1" val="0"/>
</file>

<file path=xl/ctrlProps/ctrlProp91.xml><?xml version="1.0" encoding="utf-8"?>
<formControlPr xmlns="http://schemas.microsoft.com/office/spreadsheetml/2009/9/main" objectType="Drop" dropStyle="combo" dx="22" fmlaLink="'Relay 6'!B4" fmlaRange="List!$A:$A" noThreeD="1" sel="1" val="0"/>
</file>

<file path=xl/ctrlProps/ctrlProp92.xml><?xml version="1.0" encoding="utf-8"?>
<formControlPr xmlns="http://schemas.microsoft.com/office/spreadsheetml/2009/9/main" objectType="Drop" dropLines="4" dropStyle="combo" dx="22" fmlaLink="'Relay 6'!B11" fmlaRange="'Relay 1'!$AB:$AB" noThreeD="1" sel="1" val="0"/>
</file>

<file path=xl/ctrlProps/ctrlProp93.xml><?xml version="1.0" encoding="utf-8"?>
<formControlPr xmlns="http://schemas.microsoft.com/office/spreadsheetml/2009/9/main" objectType="Drop" dropLines="11" dropStyle="combo" dx="22" fmlaLink="'Relay 6'!$L$6" fmlaRange="'Relay 1'!$AD$2:$AD$12" noThreeD="1" sel="1" val="0"/>
</file>

<file path=xl/ctrlProps/ctrlProp94.xml><?xml version="1.0" encoding="utf-8"?>
<formControlPr xmlns="http://schemas.microsoft.com/office/spreadsheetml/2009/9/main" objectType="Drop" dropLines="21" dropStyle="combo" dx="22" fmlaLink="'Relay 6'!$I$7" fmlaRange="'Relay 1'!$AC$2:$AC$22" noThreeD="1" sel="1" val="0"/>
</file>

<file path=xl/ctrlProps/ctrlProp95.xml><?xml version="1.0" encoding="utf-8"?>
<formControlPr xmlns="http://schemas.microsoft.com/office/spreadsheetml/2009/9/main" objectType="Drop" dropLines="21" dropStyle="combo" dx="22" fmlaLink="'Relay 6'!$I$8" fmlaRange="'Relay 1'!$AC$2:$AC$22" noThreeD="1" sel="1" val="0"/>
</file>

<file path=xl/ctrlProps/ctrlProp96.xml><?xml version="1.0" encoding="utf-8"?>
<formControlPr xmlns="http://schemas.microsoft.com/office/spreadsheetml/2009/9/main" objectType="Drop" dropLines="21" dropStyle="combo" dx="22" fmlaLink="'Relay 6'!$I$9" fmlaRange="'Relay 1'!$AC$2:$AC$22" noThreeD="1" sel="1" val="0"/>
</file>

<file path=xl/ctrlProps/ctrlProp97.xml><?xml version="1.0" encoding="utf-8"?>
<formControlPr xmlns="http://schemas.microsoft.com/office/spreadsheetml/2009/9/main" objectType="Drop" dropStyle="combo" dx="22" fmlaLink="'Relay 7'!B4" fmlaRange="List!$A:$A" noThreeD="1" sel="1" val="0"/>
</file>

<file path=xl/ctrlProps/ctrlProp98.xml><?xml version="1.0" encoding="utf-8"?>
<formControlPr xmlns="http://schemas.microsoft.com/office/spreadsheetml/2009/9/main" objectType="Drop" dropLines="4" dropStyle="combo" dx="22" fmlaLink="'Relay 7'!B11" fmlaRange="'Relay 1'!$AB:$AB" noThreeD="1" sel="1" val="0"/>
</file>

<file path=xl/ctrlProps/ctrlProp99.xml><?xml version="1.0" encoding="utf-8"?>
<formControlPr xmlns="http://schemas.microsoft.com/office/spreadsheetml/2009/9/main" objectType="Drop" dropLines="11" dropStyle="combo" dx="22" fmlaLink="'Relay 7'!$L$6" fmlaRange="'Relay 1'!$AD$2:$AD$12" noThreeD="1" sel="1" val="0"/>
</file>

<file path=xl/ctrlProps/ctrlProp100.xml><?xml version="1.0" encoding="utf-8"?>
<formControlPr xmlns="http://schemas.microsoft.com/office/spreadsheetml/2009/9/main" objectType="Drop" dropLines="21" dropStyle="combo" dx="22" fmlaLink="'Relay 7'!$I$7" fmlaRange="'Relay 1'!$AC$2:$AC$22" noThreeD="1" sel="1" val="0"/>
</file>

<file path=xl/ctrlProps/ctrlProp101.xml><?xml version="1.0" encoding="utf-8"?>
<formControlPr xmlns="http://schemas.microsoft.com/office/spreadsheetml/2009/9/main" objectType="Drop" dropLines="21" dropStyle="combo" dx="22" fmlaLink="'Relay 7'!$I$8" fmlaRange="'Relay 1'!$AC$2:$AC$22" noThreeD="1" sel="1" val="0"/>
</file>

<file path=xl/ctrlProps/ctrlProp102.xml><?xml version="1.0" encoding="utf-8"?>
<formControlPr xmlns="http://schemas.microsoft.com/office/spreadsheetml/2009/9/main" objectType="Drop" dropLines="21" dropStyle="combo" dx="22" fmlaLink="'Relay 7'!$I$9" fmlaRange="'Relay 1'!$AC$2:$AC$22" noThreeD="1" sel="1" val="0"/>
</file>

<file path=xl/ctrlProps/ctrlProp103.xml><?xml version="1.0" encoding="utf-8"?>
<formControlPr xmlns="http://schemas.microsoft.com/office/spreadsheetml/2009/9/main" objectType="Drop" dropStyle="combo" dx="22" fmlaLink="'Relay 8'!B4" fmlaRange="List!$A:$A" noThreeD="1" sel="1" val="0"/>
</file>

<file path=xl/ctrlProps/ctrlProp104.xml><?xml version="1.0" encoding="utf-8"?>
<formControlPr xmlns="http://schemas.microsoft.com/office/spreadsheetml/2009/9/main" objectType="Drop" dropLines="4" dropStyle="combo" dx="22" fmlaLink="'Relay 8'!B11" fmlaRange="'Relay 1'!$AB:$AB" noThreeD="1" sel="1" val="0"/>
</file>

<file path=xl/ctrlProps/ctrlProp105.xml><?xml version="1.0" encoding="utf-8"?>
<formControlPr xmlns="http://schemas.microsoft.com/office/spreadsheetml/2009/9/main" objectType="Drop" dropLines="11" dropStyle="combo" dx="22" fmlaLink="'Relay 8'!$L$6" fmlaRange="'Relay 1'!$AD$2:$AD$12" noThreeD="1" sel="1" val="0"/>
</file>

<file path=xl/ctrlProps/ctrlProp106.xml><?xml version="1.0" encoding="utf-8"?>
<formControlPr xmlns="http://schemas.microsoft.com/office/spreadsheetml/2009/9/main" objectType="Drop" dropLines="21" dropStyle="combo" dx="22" fmlaLink="'Relay 8'!$I$7" fmlaRange="'Relay 1'!$AC$2:$AC$22" noThreeD="1" sel="1" val="0"/>
</file>

<file path=xl/ctrlProps/ctrlProp107.xml><?xml version="1.0" encoding="utf-8"?>
<formControlPr xmlns="http://schemas.microsoft.com/office/spreadsheetml/2009/9/main" objectType="Drop" dropLines="21" dropStyle="combo" dx="22" fmlaLink="'Relay 8'!$I$8" fmlaRange="'Relay 1'!$AC$2:$AC$22" noThreeD="1" sel="1" val="0"/>
</file>

<file path=xl/ctrlProps/ctrlProp108.xml><?xml version="1.0" encoding="utf-8"?>
<formControlPr xmlns="http://schemas.microsoft.com/office/spreadsheetml/2009/9/main" objectType="Drop" dropLines="21" dropStyle="combo" dx="22" fmlaLink="'Relay 8'!$I$9" fmlaRange="'Relay 1'!$AC$2:$AC$22" noThreeD="1" sel="1" val="0"/>
</file>

<file path=xl/ctrlProps/ctrlProp109.xml><?xml version="1.0" encoding="utf-8"?>
<formControlPr xmlns="http://schemas.microsoft.com/office/spreadsheetml/2009/9/main" objectType="Drop" dropStyle="combo" dx="22" fmlaLink="'Relay 9'!B4" fmlaRange="List!$A:$A" noThreeD="1" sel="1" val="0"/>
</file>

<file path=xl/ctrlProps/ctrlProp110.xml><?xml version="1.0" encoding="utf-8"?>
<formControlPr xmlns="http://schemas.microsoft.com/office/spreadsheetml/2009/9/main" objectType="Drop" dropLines="4" dropStyle="combo" dx="22" fmlaLink="'Relay 9'!B11" fmlaRange="'Relay 1'!$AB:$AB" noThreeD="1" sel="1" val="0"/>
</file>

<file path=xl/ctrlProps/ctrlProp111.xml><?xml version="1.0" encoding="utf-8"?>
<formControlPr xmlns="http://schemas.microsoft.com/office/spreadsheetml/2009/9/main" objectType="Drop" dropLines="11" dropStyle="combo" dx="22" fmlaLink="'Relay 9'!$L$6" fmlaRange="'Relay 1'!$AD$2:$AD$12" noThreeD="1" sel="1" val="0"/>
</file>

<file path=xl/ctrlProps/ctrlProp112.xml><?xml version="1.0" encoding="utf-8"?>
<formControlPr xmlns="http://schemas.microsoft.com/office/spreadsheetml/2009/9/main" objectType="Drop" dropLines="21" dropStyle="combo" dx="22" fmlaLink="'Relay 9'!$I$7" fmlaRange="'Relay 1'!$AC$2:$AC$22" noThreeD="1" sel="1" val="0"/>
</file>

<file path=xl/ctrlProps/ctrlProp113.xml><?xml version="1.0" encoding="utf-8"?>
<formControlPr xmlns="http://schemas.microsoft.com/office/spreadsheetml/2009/9/main" objectType="Drop" dropLines="21" dropStyle="combo" dx="22" fmlaLink="'Relay 9'!$I$8" fmlaRange="'Relay 1'!$AC$2:$AC$22" noThreeD="1" sel="1" val="0"/>
</file>

<file path=xl/ctrlProps/ctrlProp114.xml><?xml version="1.0" encoding="utf-8"?>
<formControlPr xmlns="http://schemas.microsoft.com/office/spreadsheetml/2009/9/main" objectType="Drop" dropLines="21" dropStyle="combo" dx="22" fmlaLink="'Relay 9'!$I$9" fmlaRange="'Relay 1'!$AC$2:$AC$22" noThreeD="1" sel="1" val="0"/>
</file>

<file path=xl/ctrlProps/ctrlProp115.xml><?xml version="1.0" encoding="utf-8"?>
<formControlPr xmlns="http://schemas.microsoft.com/office/spreadsheetml/2009/9/main" objectType="Drop" dropStyle="combo" dx="22" fmlaLink="'Relay 10'!B4" fmlaRange="List!$A:$A" noThreeD="1" sel="1" val="0"/>
</file>

<file path=xl/ctrlProps/ctrlProp116.xml><?xml version="1.0" encoding="utf-8"?>
<formControlPr xmlns="http://schemas.microsoft.com/office/spreadsheetml/2009/9/main" objectType="Drop" dropLines="4" dropStyle="combo" dx="22" fmlaLink="'Relay 10'!B11" fmlaRange="'Relay 1'!$AB:$AB" noThreeD="1" sel="1" val="0"/>
</file>

<file path=xl/ctrlProps/ctrlProp117.xml><?xml version="1.0" encoding="utf-8"?>
<formControlPr xmlns="http://schemas.microsoft.com/office/spreadsheetml/2009/9/main" objectType="Drop" dropLines="11" dropStyle="combo" dx="22" fmlaLink="'Relay 10'!$L$6" fmlaRange="'Relay 1'!$AD$2:$AD$12" noThreeD="1" sel="1" val="0"/>
</file>

<file path=xl/ctrlProps/ctrlProp118.xml><?xml version="1.0" encoding="utf-8"?>
<formControlPr xmlns="http://schemas.microsoft.com/office/spreadsheetml/2009/9/main" objectType="Drop" dropLines="21" dropStyle="combo" dx="22" fmlaLink="'Relay 10'!$I$7" fmlaRange="'Relay 1'!$AC$2:$AC$22" noThreeD="1" sel="1" val="0"/>
</file>

<file path=xl/ctrlProps/ctrlProp119.xml><?xml version="1.0" encoding="utf-8"?>
<formControlPr xmlns="http://schemas.microsoft.com/office/spreadsheetml/2009/9/main" objectType="Drop" dropLines="21" dropStyle="combo" dx="22" fmlaLink="'Relay 10'!$I$8" fmlaRange="'Relay 1'!$AC$2:$AC$22" noThreeD="1" sel="1" val="0"/>
</file>

<file path=xl/ctrlProps/ctrlProp120.xml><?xml version="1.0" encoding="utf-8"?>
<formControlPr xmlns="http://schemas.microsoft.com/office/spreadsheetml/2009/9/main" objectType="Drop" dropLines="21" dropStyle="combo" dx="22" fmlaLink="'Relay 10'!$I$9" fmlaRange="'Relay 1'!$AC$2:$AC$22" noThreeD="1" sel="1" val="0"/>
</file>

<file path=xl/ctrlProps/ctrlProp121.xml><?xml version="1.0" encoding="utf-8"?>
<formControlPr xmlns="http://schemas.microsoft.com/office/spreadsheetml/2009/9/main" objectType="Drop" dropLines="3" dropStyle="combo" dx="22" fmlaLink="'Relay 1'!$B$23" fmlaRange="'Relay 1'!$AE$2:$AE$4" noThreeD="1" sel="1" val="0"/>
</file>

<file path=xl/ctrlProps/ctrlProp122.xml><?xml version="1.0" encoding="utf-8"?>
<formControlPr xmlns="http://schemas.microsoft.com/office/spreadsheetml/2009/9/main" objectType="Drop" dropLines="2" dropStyle="combo" dx="22" fmlaLink="'Relay 1'!$B$23" fmlaRange="'Relay 1'!$AE$2:$AE$3" noThreeD="1" sel="1" val="0"/>
</file>

<file path=xl/ctrlProps/ctrlProp123.xml><?xml version="1.0" encoding="utf-8"?>
<formControlPr xmlns="http://schemas.microsoft.com/office/spreadsheetml/2009/9/main" objectType="Drop" dropLines="2" dropStyle="combo" dx="22" fmlaLink="'Relay 1'!$B$23" fmlaRange="'Relay 1'!$AE$2:$AE$3" noThreeD="1" sel="1" val="0"/>
</file>

<file path=xl/ctrlProps/ctrlProp124.xml><?xml version="1.0" encoding="utf-8"?>
<formControlPr xmlns="http://schemas.microsoft.com/office/spreadsheetml/2009/9/main" objectType="Drop" dropLines="2" dropStyle="combo" dx="22" fmlaLink="'Relay 1'!$B$23" fmlaRange="'Relay 1'!$AE$2:$AE$3" noThreeD="1" sel="1" val="0"/>
</file>

<file path=xl/ctrlProps/ctrlProp125.xml><?xml version="1.0" encoding="utf-8"?>
<formControlPr xmlns="http://schemas.microsoft.com/office/spreadsheetml/2009/9/main" objectType="Drop" dropLines="2" dropStyle="combo" dx="22" fmlaLink="'Relay 1'!$B$23" fmlaRange="'Relay 1'!$AE$2:$AE$3" noThreeD="1" sel="1" val="0"/>
</file>

<file path=xl/ctrlProps/ctrlProp126.xml><?xml version="1.0" encoding="utf-8"?>
<formControlPr xmlns="http://schemas.microsoft.com/office/spreadsheetml/2009/9/main" objectType="Drop" dropLines="2" dropStyle="combo" dx="22" fmlaLink="'Relay 1'!$B$23" fmlaRange="'Relay 1'!$AE$2:$AE$3" noThreeD="1" sel="1" val="0"/>
</file>

<file path=xl/ctrlProps/ctrlProp127.xml><?xml version="1.0" encoding="utf-8"?>
<formControlPr xmlns="http://schemas.microsoft.com/office/spreadsheetml/2009/9/main" objectType="Drop" dropLines="2" dropStyle="combo" dx="22" fmlaLink="'Relay 1'!$B$23" fmlaRange="'Relay 1'!$AE$2:$AE$3" noThreeD="1" sel="1" val="0"/>
</file>

<file path=xl/ctrlProps/ctrlProp128.xml><?xml version="1.0" encoding="utf-8"?>
<formControlPr xmlns="http://schemas.microsoft.com/office/spreadsheetml/2009/9/main" objectType="Drop" dropLines="2" dropStyle="combo" dx="22" fmlaLink="'Relay 1'!$B$23" fmlaRange="'Relay 1'!$AE$2:$AE$3" noThreeD="1" sel="1" val="0"/>
</file>

<file path=xl/ctrlProps/ctrlProp129.xml><?xml version="1.0" encoding="utf-8"?>
<formControlPr xmlns="http://schemas.microsoft.com/office/spreadsheetml/2009/9/main" objectType="Drop" dropLines="3" dropStyle="combo" dx="22" fmlaLink="'Relay 2'!$B$23" fmlaRange="'Relay 1'!$AE$2:$AE$4" noThreeD="1" sel="1" val="0"/>
</file>

<file path=xl/ctrlProps/ctrlProp130.xml><?xml version="1.0" encoding="utf-8"?>
<formControlPr xmlns="http://schemas.microsoft.com/office/spreadsheetml/2009/9/main" objectType="Drop" dropLines="3" dropStyle="combo" dx="22" fmlaLink="'Relay 3'!$B$23" fmlaRange="'Relay 1'!$AE$2:$AE$4" noThreeD="1" sel="1" val="0"/>
</file>

<file path=xl/ctrlProps/ctrlProp131.xml><?xml version="1.0" encoding="utf-8"?>
<formControlPr xmlns="http://schemas.microsoft.com/office/spreadsheetml/2009/9/main" objectType="Drop" dropLines="3" dropStyle="combo" dx="22" fmlaLink="'Relay 4'!$B$23" fmlaRange="'Relay 1'!$AE$2:$AE$4" noThreeD="1" sel="1" val="0"/>
</file>

<file path=xl/ctrlProps/ctrlProp132.xml><?xml version="1.0" encoding="utf-8"?>
<formControlPr xmlns="http://schemas.microsoft.com/office/spreadsheetml/2009/9/main" objectType="Drop" dropLines="3" dropStyle="combo" dx="22" fmlaLink="'Relay 5'!$B$23" fmlaRange="'Relay 1'!$AE$2:$AE$4" noThreeD="1" sel="1" val="0"/>
</file>

<file path=xl/ctrlProps/ctrlProp133.xml><?xml version="1.0" encoding="utf-8"?>
<formControlPr xmlns="http://schemas.microsoft.com/office/spreadsheetml/2009/9/main" objectType="Drop" dropLines="3" dropStyle="combo" dx="22" fmlaLink="'Relay 6'!$B$23" fmlaRange="'Relay 1'!$AE$2:$AE$4" noThreeD="1" sel="1" val="0"/>
</file>

<file path=xl/ctrlProps/ctrlProp134.xml><?xml version="1.0" encoding="utf-8"?>
<formControlPr xmlns="http://schemas.microsoft.com/office/spreadsheetml/2009/9/main" objectType="Drop" dropLines="3" dropStyle="combo" dx="22" fmlaLink="'Relay 7'!$B$23" fmlaRange="'Relay 1'!$AE$2:$AE$4" noThreeD="1" sel="1" val="0"/>
</file>

<file path=xl/ctrlProps/ctrlProp135.xml><?xml version="1.0" encoding="utf-8"?>
<formControlPr xmlns="http://schemas.microsoft.com/office/spreadsheetml/2009/9/main" objectType="Drop" dropLines="3" dropStyle="combo" dx="22" fmlaLink="'Relay 8'!$B$23" fmlaRange="'Relay 1'!$AE$2:$AE$4" noThreeD="1" sel="1" val="0"/>
</file>

<file path=xl/ctrlProps/ctrlProp136.xml><?xml version="1.0" encoding="utf-8"?>
<formControlPr xmlns="http://schemas.microsoft.com/office/spreadsheetml/2009/9/main" objectType="Drop" dropLines="3" dropStyle="combo" dx="22" fmlaLink="'Relay 9'!$B$23" fmlaRange="'Relay 1'!$AE$2:$AE$4" noThreeD="1" sel="1" val="0"/>
</file>

<file path=xl/ctrlProps/ctrlProp137.xml><?xml version="1.0" encoding="utf-8"?>
<formControlPr xmlns="http://schemas.microsoft.com/office/spreadsheetml/2009/9/main" objectType="Drop" dropLines="3" dropStyle="combo" dx="22" fmlaLink="'Relay 10'!$B$23" fmlaRange="'Relay 1'!$AE$2:$AE$4" noThreeD="1" sel="1" val="0"/>
</file>

<file path=xl/ctrlProps/ctrlProp138.xml><?xml version="1.0" encoding="utf-8"?>
<formControlPr xmlns="http://schemas.microsoft.com/office/spreadsheetml/2009/9/main" objectType="Drop" dropLines="21" dropStyle="combo" dx="22" fmlaLink="'Relay 1'!$K$7" fmlaRange="'Relay 1'!$AC$2:$AC$22" noThreeD="1" sel="1" val="0"/>
</file>

<file path=xl/ctrlProps/ctrlProp139.xml><?xml version="1.0" encoding="utf-8"?>
<formControlPr xmlns="http://schemas.microsoft.com/office/spreadsheetml/2009/9/main" objectType="Drop" dropLines="21" dropStyle="combo" dx="22" fmlaLink="'Relay 1'!$K$8" fmlaRange="'Relay 1'!$AC$2:$AC$22" noThreeD="1" sel="1" val="0"/>
</file>

<file path=xl/ctrlProps/ctrlProp140.xml><?xml version="1.0" encoding="utf-8"?>
<formControlPr xmlns="http://schemas.microsoft.com/office/spreadsheetml/2009/9/main" objectType="Drop" dropLines="21" dropStyle="combo" dx="22" fmlaLink="'Relay 1'!$K$9" fmlaRange="'Relay 1'!$AC$2:$AC$22" noThreeD="1" sel="1" val="0"/>
</file>

<file path=xl/ctrlProps/ctrlProp141.xml><?xml version="1.0" encoding="utf-8"?>
<formControlPr xmlns="http://schemas.microsoft.com/office/spreadsheetml/2009/9/main" objectType="Drop" dropLines="21" dropStyle="combo" dx="22" fmlaLink="'Relay 2'!$K$7" fmlaRange="'Relay 1'!$AC$2:$AC$22" noThreeD="1" sel="6" val="0"/>
</file>

<file path=xl/ctrlProps/ctrlProp142.xml><?xml version="1.0" encoding="utf-8"?>
<formControlPr xmlns="http://schemas.microsoft.com/office/spreadsheetml/2009/9/main" objectType="Drop" dropLines="21" dropStyle="combo" dx="22" fmlaLink="'Relay 2'!$K$8" fmlaRange="'Relay 1'!$AC$2:$AC$22" noThreeD="1" sel="1" val="0"/>
</file>

<file path=xl/ctrlProps/ctrlProp143.xml><?xml version="1.0" encoding="utf-8"?>
<formControlPr xmlns="http://schemas.microsoft.com/office/spreadsheetml/2009/9/main" objectType="Drop" dropLines="21" dropStyle="combo" dx="22" fmlaLink="'Relay 2'!$K$9" fmlaRange="'Relay 1'!$AC$2:$AC$22" noThreeD="1" sel="1" val="0"/>
</file>

<file path=xl/ctrlProps/ctrlProp144.xml><?xml version="1.0" encoding="utf-8"?>
<formControlPr xmlns="http://schemas.microsoft.com/office/spreadsheetml/2009/9/main" objectType="Drop" dropLines="21" dropStyle="combo" dx="22" fmlaLink="'Relay 3'!$K$7" fmlaRange="'Relay 1'!$AC$2:$AC$22" noThreeD="1" sel="1" val="0"/>
</file>

<file path=xl/ctrlProps/ctrlProp145.xml><?xml version="1.0" encoding="utf-8"?>
<formControlPr xmlns="http://schemas.microsoft.com/office/spreadsheetml/2009/9/main" objectType="Drop" dropLines="21" dropStyle="combo" dx="22" fmlaLink="'Relay 3'!$K$8" fmlaRange="'Relay 1'!$AC$2:$AC$22" noThreeD="1" sel="1" val="0"/>
</file>

<file path=xl/ctrlProps/ctrlProp146.xml><?xml version="1.0" encoding="utf-8"?>
<formControlPr xmlns="http://schemas.microsoft.com/office/spreadsheetml/2009/9/main" objectType="Drop" dropLines="21" dropStyle="combo" dx="22" fmlaLink="'Relay 3'!$K$9" fmlaRange="'Relay 1'!$AC$2:$AC$22" noThreeD="1" sel="1" val="0"/>
</file>

<file path=xl/ctrlProps/ctrlProp147.xml><?xml version="1.0" encoding="utf-8"?>
<formControlPr xmlns="http://schemas.microsoft.com/office/spreadsheetml/2009/9/main" objectType="Drop" dropLines="21" dropStyle="combo" dx="22" fmlaLink="'Relay 4'!$K$7" fmlaRange="'Relay 1'!$AC$2:$AC$22" noThreeD="1" sel="1" val="0"/>
</file>

<file path=xl/ctrlProps/ctrlProp148.xml><?xml version="1.0" encoding="utf-8"?>
<formControlPr xmlns="http://schemas.microsoft.com/office/spreadsheetml/2009/9/main" objectType="Drop" dropLines="21" dropStyle="combo" dx="22" fmlaLink="'Relay 4'!$K$8" fmlaRange="'Relay 1'!$AC$2:$AC$22" noThreeD="1" sel="1" val="0"/>
</file>

<file path=xl/ctrlProps/ctrlProp149.xml><?xml version="1.0" encoding="utf-8"?>
<formControlPr xmlns="http://schemas.microsoft.com/office/spreadsheetml/2009/9/main" objectType="Drop" dropLines="21" dropStyle="combo" dx="22" fmlaLink="'Relay 4'!$K$9" fmlaRange="'Relay 1'!$AC$2:$AC$22" noThreeD="1" sel="1" val="0"/>
</file>

<file path=xl/ctrlProps/ctrlProp150.xml><?xml version="1.0" encoding="utf-8"?>
<formControlPr xmlns="http://schemas.microsoft.com/office/spreadsheetml/2009/9/main" objectType="Drop" dropLines="21" dropStyle="combo" dx="22" fmlaLink="'Relay 5'!$K$7" fmlaRange="'Relay 1'!$AC$2:$AC$22" noThreeD="1" sel="1" val="0"/>
</file>

<file path=xl/ctrlProps/ctrlProp151.xml><?xml version="1.0" encoding="utf-8"?>
<formControlPr xmlns="http://schemas.microsoft.com/office/spreadsheetml/2009/9/main" objectType="Drop" dropLines="21" dropStyle="combo" dx="22" fmlaLink="'Relay 5'!$K$8" fmlaRange="'Relay 1'!$AC$2:$AC$22" noThreeD="1" sel="1" val="0"/>
</file>

<file path=xl/ctrlProps/ctrlProp152.xml><?xml version="1.0" encoding="utf-8"?>
<formControlPr xmlns="http://schemas.microsoft.com/office/spreadsheetml/2009/9/main" objectType="Drop" dropLines="21" dropStyle="combo" dx="22" fmlaLink="'Relay 5'!$K$9" fmlaRange="'Relay 1'!$AC$2:$AC$22" noThreeD="1" sel="7" val="0"/>
</file>

<file path=xl/ctrlProps/ctrlProp153.xml><?xml version="1.0" encoding="utf-8"?>
<formControlPr xmlns="http://schemas.microsoft.com/office/spreadsheetml/2009/9/main" objectType="Drop" dropLines="21" dropStyle="combo" dx="22" fmlaLink="'Relay 6'!$K$7" fmlaRange="'Relay 1'!$AC$2:$AC$22" noThreeD="1" sel="1" val="0"/>
</file>

<file path=xl/ctrlProps/ctrlProp154.xml><?xml version="1.0" encoding="utf-8"?>
<formControlPr xmlns="http://schemas.microsoft.com/office/spreadsheetml/2009/9/main" objectType="Drop" dropLines="21" dropStyle="combo" dx="22" fmlaLink="'Relay 6'!$K$7" fmlaRange="'Relay 1'!$AC$2:$AC$22" noThreeD="1" sel="1" val="0"/>
</file>

<file path=xl/ctrlProps/ctrlProp155.xml><?xml version="1.0" encoding="utf-8"?>
<formControlPr xmlns="http://schemas.microsoft.com/office/spreadsheetml/2009/9/main" objectType="Drop" dropLines="21" dropStyle="combo" dx="22" fmlaLink="'Relay 6'!$K$8" fmlaRange="'Relay 1'!$AC$2:$AC$22" noThreeD="1" sel="1" val="0"/>
</file>

<file path=xl/ctrlProps/ctrlProp156.xml><?xml version="1.0" encoding="utf-8"?>
<formControlPr xmlns="http://schemas.microsoft.com/office/spreadsheetml/2009/9/main" objectType="Drop" dropLines="21" dropStyle="combo" dx="22" fmlaLink="'Relay 6'!$K$9" fmlaRange="'Relay 1'!$AC$2:$AC$22" noThreeD="1" sel="1" val="0"/>
</file>

<file path=xl/ctrlProps/ctrlProp157.xml><?xml version="1.0" encoding="utf-8"?>
<formControlPr xmlns="http://schemas.microsoft.com/office/spreadsheetml/2009/9/main" objectType="Drop" dropLines="21" dropStyle="combo" dx="22" fmlaLink="'Relay 7'!$K$7" fmlaRange="'Relay 1'!$AC$2:$AC$22" noThreeD="1" sel="1" val="0"/>
</file>

<file path=xl/ctrlProps/ctrlProp158.xml><?xml version="1.0" encoding="utf-8"?>
<formControlPr xmlns="http://schemas.microsoft.com/office/spreadsheetml/2009/9/main" objectType="Drop" dropLines="21" dropStyle="combo" dx="22" fmlaLink="'Relay 7'!$K$8" fmlaRange="'Relay 1'!$AC$2:$AC$22" noThreeD="1" sel="1" val="0"/>
</file>

<file path=xl/ctrlProps/ctrlProp159.xml><?xml version="1.0" encoding="utf-8"?>
<formControlPr xmlns="http://schemas.microsoft.com/office/spreadsheetml/2009/9/main" objectType="Drop" dropLines="21" dropStyle="combo" dx="22" fmlaLink="'Relay 7'!$K$9" fmlaRange="'Relay 1'!$AC$2:$AC$22" noThreeD="1" sel="1" val="0"/>
</file>

<file path=xl/ctrlProps/ctrlProp160.xml><?xml version="1.0" encoding="utf-8"?>
<formControlPr xmlns="http://schemas.microsoft.com/office/spreadsheetml/2009/9/main" objectType="Drop" dropLines="21" dropStyle="combo" dx="22" fmlaLink="'Relay 8'!$K$7" fmlaRange="'Relay 1'!$AC$2:$AC$22" noThreeD="1" sel="1" val="0"/>
</file>

<file path=xl/ctrlProps/ctrlProp161.xml><?xml version="1.0" encoding="utf-8"?>
<formControlPr xmlns="http://schemas.microsoft.com/office/spreadsheetml/2009/9/main" objectType="Drop" dropLines="21" dropStyle="combo" dx="22" fmlaLink="'Relay 8'!$K$8" fmlaRange="'Relay 1'!$AC$2:$AC$22" noThreeD="1" sel="1" val="0"/>
</file>

<file path=xl/ctrlProps/ctrlProp162.xml><?xml version="1.0" encoding="utf-8"?>
<formControlPr xmlns="http://schemas.microsoft.com/office/spreadsheetml/2009/9/main" objectType="Drop" dropLines="21" dropStyle="combo" dx="22" fmlaLink="'Relay 8'!$K$9" fmlaRange="'Relay 1'!$AC$2:$AC$22" noThreeD="1" sel="1" val="0"/>
</file>

<file path=xl/ctrlProps/ctrlProp163.xml><?xml version="1.0" encoding="utf-8"?>
<formControlPr xmlns="http://schemas.microsoft.com/office/spreadsheetml/2009/9/main" objectType="Drop" dropLines="21" dropStyle="combo" dx="22" fmlaLink="'Relay 9'!$K$7" fmlaRange="'Relay 1'!$AC$2:$AC$22" noThreeD="1" sel="1" val="0"/>
</file>

<file path=xl/ctrlProps/ctrlProp164.xml><?xml version="1.0" encoding="utf-8"?>
<formControlPr xmlns="http://schemas.microsoft.com/office/spreadsheetml/2009/9/main" objectType="Drop" dropLines="21" dropStyle="combo" dx="22" fmlaLink="'Relay 9'!$K$8" fmlaRange="'Relay 1'!$AC$2:$AC$22" noThreeD="1" sel="1" val="0"/>
</file>

<file path=xl/ctrlProps/ctrlProp165.xml><?xml version="1.0" encoding="utf-8"?>
<formControlPr xmlns="http://schemas.microsoft.com/office/spreadsheetml/2009/9/main" objectType="Drop" dropLines="21" dropStyle="combo" dx="22" fmlaLink="'Relay 9'!$K$9" fmlaRange="'Relay 1'!$AC$2:$AC$22" noThreeD="1" sel="1" val="0"/>
</file>

<file path=xl/ctrlProps/ctrlProp166.xml><?xml version="1.0" encoding="utf-8"?>
<formControlPr xmlns="http://schemas.microsoft.com/office/spreadsheetml/2009/9/main" objectType="Drop" dropLines="21" dropStyle="combo" dx="22" fmlaLink="'Relay 10'!$K$7" fmlaRange="'Relay 1'!$AC$2:$AC$22" noThreeD="1" sel="1" val="0"/>
</file>

<file path=xl/ctrlProps/ctrlProp167.xml><?xml version="1.0" encoding="utf-8"?>
<formControlPr xmlns="http://schemas.microsoft.com/office/spreadsheetml/2009/9/main" objectType="Drop" dropLines="21" dropStyle="combo" dx="22" fmlaLink="'Relay 10'!$K$8" fmlaRange="'Relay 1'!$AC$2:$AC$22" noThreeD="1" sel="1" val="0"/>
</file>

<file path=xl/ctrlProps/ctrlProp168.xml><?xml version="1.0" encoding="utf-8"?>
<formControlPr xmlns="http://schemas.microsoft.com/office/spreadsheetml/2009/9/main" objectType="Drop" dropLines="21" dropStyle="combo" dx="22" fmlaLink="'Relay 10'!$K$9" fmlaRange="'Relay 1'!$AC$2:$AC$22" noThreeD="1" sel="1" val="0"/>
</file>

<file path=xl/ctrlProps/ctrlProp169.xml><?xml version="1.0" encoding="utf-8"?>
<formControlPr xmlns="http://schemas.microsoft.com/office/spreadsheetml/2009/9/main" objectType="Drop" dropLines="20" dropStyle="combo" dx="22" fmlaLink="B4" fmlaRange="List!A1:A62" noThreeD="1" sel="1" val="0"/>
</file>

<file path=xl/ctrlProps/ctrlProp170.xml><?xml version="1.0" encoding="utf-8"?>
<formControlPr xmlns="http://schemas.microsoft.com/office/spreadsheetml/2009/9/main" objectType="Drop" dropLines="6" dropStyle="combo" dx="22" fmlaLink="B11" fmlaRange="'Relay 1'!$AB$2:$AB$7" noThreeD="1" sel="1" val="0"/>
</file>

<file path=xl/ctrlProps/ctrlProp171.xml><?xml version="1.0" encoding="utf-8"?>
<formControlPr xmlns="http://schemas.microsoft.com/office/spreadsheetml/2009/9/main" objectType="Drop" dropLines="11" dropStyle="combo" dx="22" fmlaLink="'Relay 1'!$L$6" fmlaRange="'Relay 1'!$AD$2:$AD$12" noThreeD="1" sel="1" val="0"/>
</file>

<file path=xl/ctrlProps/ctrlProp172.xml><?xml version="1.0" encoding="utf-8"?>
<formControlPr xmlns="http://schemas.microsoft.com/office/spreadsheetml/2009/9/main" objectType="Drop" dropLines="21" dropStyle="combo" dx="22" fmlaLink="'Relay 1'!$I$7" fmlaRange="'Relay 1'!$AC$2:$AC$22" noThreeD="1" sel="1" val="0"/>
</file>

<file path=xl/ctrlProps/ctrlProp173.xml><?xml version="1.0" encoding="utf-8"?>
<formControlPr xmlns="http://schemas.microsoft.com/office/spreadsheetml/2009/9/main" objectType="Drop" dropLines="21" dropStyle="combo" dx="22" fmlaLink="'Relay 1'!$I$8" fmlaRange="'Relay 1'!$AC$2:$AC$22" noThreeD="1" sel="1" val="0"/>
</file>

<file path=xl/ctrlProps/ctrlProp174.xml><?xml version="1.0" encoding="utf-8"?>
<formControlPr xmlns="http://schemas.microsoft.com/office/spreadsheetml/2009/9/main" objectType="Drop" dropLines="21" dropStyle="combo" dx="22" fmlaLink="'Relay 1'!$I$9" fmlaRange="'Relay 1'!$AC$2:$AC$22" noThreeD="1" sel="1" val="0"/>
</file>

<file path=xl/ctrlProps/ctrlProp175.xml><?xml version="1.0" encoding="utf-8"?>
<formControlPr xmlns="http://schemas.microsoft.com/office/spreadsheetml/2009/9/main" objectType="Drop" dropLines="2" dropStyle="combo" dx="22" fmlaLink="$L$2" fmlaRange="$AF$2:$AF$3" noThreeD="1" sel="1" val="0"/>
</file>

<file path=xl/ctrlProps/ctrlProp176.xml><?xml version="1.0" encoding="utf-8"?>
<formControlPr xmlns="http://schemas.microsoft.com/office/spreadsheetml/2009/9/main" objectType="CheckBox" fmlaLink="F4" lockText="1" noThreeD="1"/>
</file>

<file path=xl/ctrlProps/ctrlProp177.xml><?xml version="1.0" encoding="utf-8"?>
<formControlPr xmlns="http://schemas.microsoft.com/office/spreadsheetml/2009/9/main" objectType="CheckBox" fmlaLink="F5" lockText="1" noThreeD="1"/>
</file>

<file path=xl/ctrlProps/ctrlProp178.xml><?xml version="1.0" encoding="utf-8"?>
<formControlPr xmlns="http://schemas.microsoft.com/office/spreadsheetml/2009/9/main" objectType="CheckBox" checked="Checked" fmlaLink="$E$6" noThreeD="1"/>
</file>

<file path=xl/ctrlProps/ctrlProp179.xml><?xml version="1.0" encoding="utf-8"?>
<formControlPr xmlns="http://schemas.microsoft.com/office/spreadsheetml/2009/9/main" objectType="CheckBox" checked="Checked" fmlaLink="$E$7" noThreeD="1"/>
</file>

<file path=xl/ctrlProps/ctrlProp180.xml><?xml version="1.0" encoding="utf-8"?>
<formControlPr xmlns="http://schemas.microsoft.com/office/spreadsheetml/2009/9/main" objectType="CheckBox" checked="Checked" fmlaLink="$E$8" noThreeD="1"/>
</file>

<file path=xl/ctrlProps/ctrlProp181.xml><?xml version="1.0" encoding="utf-8"?>
<formControlPr xmlns="http://schemas.microsoft.com/office/spreadsheetml/2009/9/main" objectType="CheckBox" checked="Checked" fmlaLink="$E$9" noThreeD="1"/>
</file>

<file path=xl/ctrlProps/ctrlProp182.xml><?xml version="1.0" encoding="utf-8"?>
<formControlPr xmlns="http://schemas.microsoft.com/office/spreadsheetml/2009/9/main" objectType="CheckBox" checked="Checked" fmlaLink="$E$10" noThreeD="1"/>
</file>

<file path=xl/ctrlProps/ctrlProp183.xml><?xml version="1.0" encoding="utf-8"?>
<formControlPr xmlns="http://schemas.microsoft.com/office/spreadsheetml/2009/9/main" objectType="CheckBox" checked="Checked" fmlaLink="$E$13" noThreeD="1"/>
</file>

<file path=xl/ctrlProps/ctrlProp184.xml><?xml version="1.0" encoding="utf-8"?>
<formControlPr xmlns="http://schemas.microsoft.com/office/spreadsheetml/2009/9/main" objectType="Drop" dropLines="3" dropStyle="combo" dx="22" fmlaLink="B23" fmlaRange="$AE$2:$AE$4" noThreeD="1" sel="1" val="0"/>
</file>

<file path=xl/ctrlProps/ctrlProp185.xml><?xml version="1.0" encoding="utf-8"?>
<formControlPr xmlns="http://schemas.microsoft.com/office/spreadsheetml/2009/9/main" objectType="Drop" dropLines="11" dropStyle="combo" dx="22" fmlaLink="$G$3" fmlaRange="$AG$2:$AG$16" noThreeD="1" sel="4" val="3"/>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Drop" dropLines="21" dropStyle="combo" dx="22" fmlaLink="'Relay 1'!$K$7" fmlaRange="'Relay 1'!$AC$2:$AC$22" noThreeD="1" sel="1" val="0"/>
</file>

<file path=xl/ctrlProps/ctrlProp188.xml><?xml version="1.0" encoding="utf-8"?>
<formControlPr xmlns="http://schemas.microsoft.com/office/spreadsheetml/2009/9/main" objectType="Drop" dropLines="21" dropStyle="combo" dx="22" fmlaLink="'Relay 1'!$K$8" fmlaRange="'Relay 1'!$AC$2:$AC$22" noThreeD="1" sel="1" val="0"/>
</file>

<file path=xl/ctrlProps/ctrlProp189.xml><?xml version="1.0" encoding="utf-8"?>
<formControlPr xmlns="http://schemas.microsoft.com/office/spreadsheetml/2009/9/main" objectType="Drop" dropLines="21" dropStyle="combo" dx="22" fmlaLink="'Relay 1'!$K$9" fmlaRange="'Relay 1'!$AC$2:$AC$22" noThreeD="1" sel="1" val="0"/>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fmlaLink="$F$6" lockText="1" noThreeD="1"/>
</file>

<file path=xl/ctrlProps/ctrlProp193.xml><?xml version="1.0" encoding="utf-8"?>
<formControlPr xmlns="http://schemas.microsoft.com/office/spreadsheetml/2009/9/main" objectType="CheckBox" checked="Checked" fmlaLink="$E$25" noThreeD="1"/>
</file>

<file path=xl/ctrlProps/ctrlProp194.xml><?xml version="1.0" encoding="utf-8"?>
<formControlPr xmlns="http://schemas.microsoft.com/office/spreadsheetml/2009/9/main" objectType="CheckBox" checked="Checked" fmlaLink="$E$28" noThreeD="1"/>
</file>

<file path=xl/ctrlProps/ctrlProp195.xml><?xml version="1.0" encoding="utf-8"?>
<formControlPr xmlns="http://schemas.microsoft.com/office/spreadsheetml/2009/9/main" objectType="CheckBox" checked="Checked" fmlaLink="$E$25" noThreeD="1"/>
</file>

<file path=xl/ctrlProps/ctrlProp196.xml><?xml version="1.0" encoding="utf-8"?>
<formControlPr xmlns="http://schemas.microsoft.com/office/spreadsheetml/2009/9/main" objectType="CheckBox" fmlaLink="F15" lockText="1" noThreeD="1"/>
</file>

<file path=xl/ctrlProps/ctrlProp197.xml><?xml version="1.0" encoding="utf-8"?>
<formControlPr xmlns="http://schemas.microsoft.com/office/spreadsheetml/2009/9/main" objectType="CheckBox" fmlaLink="F16" lockText="1" noThreeD="1"/>
</file>

<file path=xl/ctrlProps/ctrlProp198.xml><?xml version="1.0" encoding="utf-8"?>
<formControlPr xmlns="http://schemas.microsoft.com/office/spreadsheetml/2009/9/main" objectType="Drop" dropLines="20" dropStyle="combo" dx="22" fmlaLink="B4" fmlaRange="List!A1:A62" noThreeD="1" sel="1" val="0"/>
</file>

<file path=xl/ctrlProps/ctrlProp199.xml><?xml version="1.0" encoding="utf-8"?>
<formControlPr xmlns="http://schemas.microsoft.com/office/spreadsheetml/2009/9/main" objectType="Drop" dropLines="6" dropStyle="combo" dx="22" fmlaLink="B11" fmlaRange="'Relay 1'!$AB$2:$AB$7" noThreeD="1" sel="1" val="0"/>
</file>

<file path=xl/ctrlProps/ctrlProp200.xml><?xml version="1.0" encoding="utf-8"?>
<formControlPr xmlns="http://schemas.microsoft.com/office/spreadsheetml/2009/9/main" objectType="Drop" dropLines="11" dropStyle="combo" dx="22" fmlaLink="'Relay 2'!$L$6" fmlaRange="'Relay 1'!$AD$2:$AD$12" noThreeD="1" sel="2" val="0"/>
</file>

<file path=xl/ctrlProps/ctrlProp201.xml><?xml version="1.0" encoding="utf-8"?>
<formControlPr xmlns="http://schemas.microsoft.com/office/spreadsheetml/2009/9/main" objectType="Drop" dropLines="21" dropStyle="combo" dx="22" fmlaLink="$I$7" fmlaRange="'Relay 1'!$AC$2:$AC$22" noThreeD="1" sel="6" val="0"/>
</file>

<file path=xl/ctrlProps/ctrlProp202.xml><?xml version="1.0" encoding="utf-8"?>
<formControlPr xmlns="http://schemas.microsoft.com/office/spreadsheetml/2009/9/main" objectType="Drop" dropLines="21" dropStyle="combo" dx="22" fmlaLink="$I$8" fmlaRange="'Relay 1'!$AC$2:$AC$22" noThreeD="1" sel="1" val="0"/>
</file>

<file path=xl/ctrlProps/ctrlProp203.xml><?xml version="1.0" encoding="utf-8"?>
<formControlPr xmlns="http://schemas.microsoft.com/office/spreadsheetml/2009/9/main" objectType="Drop" dropLines="21" dropStyle="combo" dx="22" fmlaLink="$I$9" fmlaRange="'Relay 1'!$AC$2:$AC$22" noThreeD="1" sel="1" val="0"/>
</file>

<file path=xl/ctrlProps/ctrlProp204.xml><?xml version="1.0" encoding="utf-8"?>
<formControlPr xmlns="http://schemas.microsoft.com/office/spreadsheetml/2009/9/main" objectType="CheckBox" fmlaLink="F4" lockText="1" noThreeD="1"/>
</file>

<file path=xl/ctrlProps/ctrlProp205.xml><?xml version="1.0" encoding="utf-8"?>
<formControlPr xmlns="http://schemas.microsoft.com/office/spreadsheetml/2009/9/main" objectType="CheckBox" fmlaLink="F5" lockText="1" noThreeD="1"/>
</file>

<file path=xl/ctrlProps/ctrlProp206.xml><?xml version="1.0" encoding="utf-8"?>
<formControlPr xmlns="http://schemas.microsoft.com/office/spreadsheetml/2009/9/main" objectType="Drop" dropLines="3" dropStyle="combo" dx="22" fmlaLink="B23" fmlaRange="'Relay 1'!$AE$2:$AE$4" noThreeD="1" sel="1" val="0"/>
</file>

<file path=xl/ctrlProps/ctrlProp207.xml><?xml version="1.0" encoding="utf-8"?>
<formControlPr xmlns="http://schemas.microsoft.com/office/spreadsheetml/2009/9/main" objectType="Drop" dropLines="11" dropStyle="combo" dx="22" fmlaLink="$G$3" fmlaRange="'Relay 1'!$AG$2:$AG$16" noThreeD="1" sel="1" val="0"/>
</file>

<file path=xl/ctrlProps/ctrlProp208.xml><?xml version="1.0" encoding="utf-8"?>
<formControlPr xmlns="http://schemas.microsoft.com/office/spreadsheetml/2009/9/main" objectType="Drop" dropLines="21" dropStyle="combo" dx="22" fmlaLink="'Relay 2'!$K$7" fmlaRange="'Relay 1'!$AC$2:$AC$22" noThreeD="1" sel="6" val="0"/>
</file>

<file path=xl/ctrlProps/ctrlProp209.xml><?xml version="1.0" encoding="utf-8"?>
<formControlPr xmlns="http://schemas.microsoft.com/office/spreadsheetml/2009/9/main" objectType="Drop" dropLines="21" dropStyle="combo" dx="22" fmlaLink="'Relay 2'!$K$8" fmlaRange="'Relay 1'!$AC$2:$AC$22" noThreeD="1" sel="1" val="0"/>
</file>

<file path=xl/ctrlProps/ctrlProp210.xml><?xml version="1.0" encoding="utf-8"?>
<formControlPr xmlns="http://schemas.microsoft.com/office/spreadsheetml/2009/9/main" objectType="Drop" dropLines="21" dropStyle="combo" dx="22" fmlaLink="'Relay 2'!$K$9" fmlaRange="'Relay 1'!$AC$2:$AC$22" noThreeD="1" sel="1" val="0"/>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fmlaLink="$F$6" lockText="1" noThreeD="1"/>
</file>

<file path=xl/ctrlProps/ctrlProp214.xml><?xml version="1.0" encoding="utf-8"?>
<formControlPr xmlns="http://schemas.microsoft.com/office/spreadsheetml/2009/9/main" objectType="CheckBox" fmlaLink="F15" lockText="1" noThreeD="1"/>
</file>

<file path=xl/ctrlProps/ctrlProp215.xml><?xml version="1.0" encoding="utf-8"?>
<formControlPr xmlns="http://schemas.microsoft.com/office/spreadsheetml/2009/9/main" objectType="CheckBox" fmlaLink="F16" lockText="1" noThreeD="1"/>
</file>

<file path=xl/ctrlProps/ctrlProp216.xml><?xml version="1.0" encoding="utf-8"?>
<formControlPr xmlns="http://schemas.microsoft.com/office/spreadsheetml/2009/9/main" objectType="Drop" dropLines="20" dropStyle="combo" dx="22" fmlaLink="'Relay 3'!B4" fmlaRange="List!A1:A62" noThreeD="1" sel="1" val="0"/>
</file>

<file path=xl/ctrlProps/ctrlProp217.xml><?xml version="1.0" encoding="utf-8"?>
<formControlPr xmlns="http://schemas.microsoft.com/office/spreadsheetml/2009/9/main" objectType="Drop" dropLines="6" dropStyle="combo" dx="22" fmlaLink="'Relay 3'!B11" fmlaRange="'Relay 1'!$AB$2:$AB$7" noThreeD="1" sel="2" val="0"/>
</file>

<file path=xl/ctrlProps/ctrlProp218.xml><?xml version="1.0" encoding="utf-8"?>
<formControlPr xmlns="http://schemas.microsoft.com/office/spreadsheetml/2009/9/main" objectType="Drop" dropLines="11" dropStyle="combo" dx="22" fmlaLink="'Relay 3'!$L$6" fmlaRange="'Relay 1'!$AD$2:$AD$12" noThreeD="1" sel="1" val="0"/>
</file>

<file path=xl/ctrlProps/ctrlProp219.xml><?xml version="1.0" encoding="utf-8"?>
<formControlPr xmlns="http://schemas.microsoft.com/office/spreadsheetml/2009/9/main" objectType="Drop" dropLines="21" dropStyle="combo" dx="22" fmlaLink="'Relay 3'!$I$7" fmlaRange="'Relay 1'!$AC$2:$AC$22" noThreeD="1" sel="1" val="0"/>
</file>

<file path=xl/ctrlProps/ctrlProp220.xml><?xml version="1.0" encoding="utf-8"?>
<formControlPr xmlns="http://schemas.microsoft.com/office/spreadsheetml/2009/9/main" objectType="Drop" dropLines="21" dropStyle="combo" dx="22" fmlaLink="'Relay 3'!$I$8" fmlaRange="'Relay 1'!$AC$2:$AC$22" noThreeD="1" sel="1" val="0"/>
</file>

<file path=xl/ctrlProps/ctrlProp221.xml><?xml version="1.0" encoding="utf-8"?>
<formControlPr xmlns="http://schemas.microsoft.com/office/spreadsheetml/2009/9/main" objectType="Drop" dropLines="21" dropStyle="combo" dx="22" fmlaLink="'Relay 3'!$I$9" fmlaRange="'Relay 1'!$AC$2:$AC$22" noThreeD="1" sel="1" val="0"/>
</file>

<file path=xl/ctrlProps/ctrlProp222.xml><?xml version="1.0" encoding="utf-8"?>
<formControlPr xmlns="http://schemas.microsoft.com/office/spreadsheetml/2009/9/main" objectType="CheckBox" fmlaLink="F4" lockText="1" noThreeD="1"/>
</file>

<file path=xl/ctrlProps/ctrlProp223.xml><?xml version="1.0" encoding="utf-8"?>
<formControlPr xmlns="http://schemas.microsoft.com/office/spreadsheetml/2009/9/main" objectType="CheckBox" fmlaLink="F5" lockText="1" noThreeD="1"/>
</file>

<file path=xl/ctrlProps/ctrlProp224.xml><?xml version="1.0" encoding="utf-8"?>
<formControlPr xmlns="http://schemas.microsoft.com/office/spreadsheetml/2009/9/main" objectType="Drop" dropLines="3" dropStyle="combo" dx="22" fmlaLink="B23" fmlaRange="'Relay 1'!$AE$2:$AE$4" noThreeD="1" sel="1" val="0"/>
</file>

<file path=xl/ctrlProps/ctrlProp225.xml><?xml version="1.0" encoding="utf-8"?>
<formControlPr xmlns="http://schemas.microsoft.com/office/spreadsheetml/2009/9/main" objectType="Drop" dropLines="11" dropStyle="combo" dx="22" fmlaLink="$G$3" fmlaRange="'Relay 1'!$AG$2:$AG$16" noThreeD="1" sel="4" val="3"/>
</file>

<file path=xl/ctrlProps/ctrlProp226.xml><?xml version="1.0" encoding="utf-8"?>
<formControlPr xmlns="http://schemas.microsoft.com/office/spreadsheetml/2009/9/main" objectType="Drop" dropLines="21" dropStyle="combo" dx="22" fmlaLink="'Relay 3'!$K$7" fmlaRange="'Relay 1'!$AC$2:$AC$22" noThreeD="1" sel="1" val="0"/>
</file>

<file path=xl/ctrlProps/ctrlProp227.xml><?xml version="1.0" encoding="utf-8"?>
<formControlPr xmlns="http://schemas.microsoft.com/office/spreadsheetml/2009/9/main" objectType="Drop" dropLines="21" dropStyle="combo" dx="22" fmlaLink="'Relay 3'!$K$8" fmlaRange="'Relay 1'!$AC$2:$AC$22" noThreeD="1" sel="1" val="0"/>
</file>

<file path=xl/ctrlProps/ctrlProp228.xml><?xml version="1.0" encoding="utf-8"?>
<formControlPr xmlns="http://schemas.microsoft.com/office/spreadsheetml/2009/9/main" objectType="Drop" dropLines="21" dropStyle="combo" dx="22" fmlaLink="'Relay 3'!$K$9" fmlaRange="'Relay 1'!$AC$2:$AC$22" noThreeD="1" sel="1" val="0"/>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CheckBox" fmlaLink="$F$6" lockText="1" noThreeD="1"/>
</file>

<file path=xl/ctrlProps/ctrlProp232.xml><?xml version="1.0" encoding="utf-8"?>
<formControlPr xmlns="http://schemas.microsoft.com/office/spreadsheetml/2009/9/main" objectType="CheckBox" fmlaLink="F15" lockText="1" noThreeD="1"/>
</file>

<file path=xl/ctrlProps/ctrlProp233.xml><?xml version="1.0" encoding="utf-8"?>
<formControlPr xmlns="http://schemas.microsoft.com/office/spreadsheetml/2009/9/main" objectType="CheckBox" fmlaLink="F16" lockText="1" noThreeD="1"/>
</file>

<file path=xl/ctrlProps/ctrlProp234.xml><?xml version="1.0" encoding="utf-8"?>
<formControlPr xmlns="http://schemas.microsoft.com/office/spreadsheetml/2009/9/main" objectType="Drop" dropLines="20" dropStyle="combo" dx="22" fmlaLink="'Relay 4'!B4" fmlaRange="List!A1:A62" noThreeD="1" sel="15" val="0"/>
</file>

<file path=xl/ctrlProps/ctrlProp235.xml><?xml version="1.0" encoding="utf-8"?>
<formControlPr xmlns="http://schemas.microsoft.com/office/spreadsheetml/2009/9/main" objectType="Drop" dropLines="6" dropStyle="combo" dx="22" fmlaLink="'Relay 4'!B11" fmlaRange="'Relay 1'!$AB$2:$AB$7" noThreeD="1" sel="2" val="0"/>
</file>

<file path=xl/ctrlProps/ctrlProp236.xml><?xml version="1.0" encoding="utf-8"?>
<formControlPr xmlns="http://schemas.microsoft.com/office/spreadsheetml/2009/9/main" objectType="Drop" dropLines="11" dropStyle="combo" dx="22" fmlaLink="'Relay 4'!$L$6" fmlaRange="'Relay 1'!$AD$2:$AD$12" noThreeD="1" sel="1" val="0"/>
</file>

<file path=xl/ctrlProps/ctrlProp237.xml><?xml version="1.0" encoding="utf-8"?>
<formControlPr xmlns="http://schemas.microsoft.com/office/spreadsheetml/2009/9/main" objectType="Drop" dropLines="21" dropStyle="combo" dx="22" fmlaLink="'Relay 4'!$I$7" fmlaRange="'Relay 1'!$AC$2:$AC$22" noThreeD="1" sel="1" val="0"/>
</file>

<file path=xl/ctrlProps/ctrlProp238.xml><?xml version="1.0" encoding="utf-8"?>
<formControlPr xmlns="http://schemas.microsoft.com/office/spreadsheetml/2009/9/main" objectType="Drop" dropLines="21" dropStyle="combo" dx="22" fmlaLink="'Relay 4'!$I$8" fmlaRange="'Relay 1'!$AC$2:$AC$22" noThreeD="1" sel="1" val="0"/>
</file>

<file path=xl/ctrlProps/ctrlProp239.xml><?xml version="1.0" encoding="utf-8"?>
<formControlPr xmlns="http://schemas.microsoft.com/office/spreadsheetml/2009/9/main" objectType="Drop" dropLines="21" dropStyle="combo" dx="22" fmlaLink="'Relay 4'!$I$9" fmlaRange="'Relay 1'!$AC$2:$AC$22" noThreeD="1" sel="1" val="0"/>
</file>

<file path=xl/ctrlProps/ctrlProp240.xml><?xml version="1.0" encoding="utf-8"?>
<formControlPr xmlns="http://schemas.microsoft.com/office/spreadsheetml/2009/9/main" objectType="CheckBox" fmlaLink="F4" lockText="1" noThreeD="1"/>
</file>

<file path=xl/ctrlProps/ctrlProp241.xml><?xml version="1.0" encoding="utf-8"?>
<formControlPr xmlns="http://schemas.microsoft.com/office/spreadsheetml/2009/9/main" objectType="CheckBox" fmlaLink="F5" lockText="1" noThreeD="1"/>
</file>

<file path=xl/ctrlProps/ctrlProp242.xml><?xml version="1.0" encoding="utf-8"?>
<formControlPr xmlns="http://schemas.microsoft.com/office/spreadsheetml/2009/9/main" objectType="Drop" dropLines="3" dropStyle="combo" dx="22" fmlaLink="B23" fmlaRange="'Relay 1'!$AE$2:$AE$4" noThreeD="1" sel="1" val="0"/>
</file>

<file path=xl/ctrlProps/ctrlProp243.xml><?xml version="1.0" encoding="utf-8"?>
<formControlPr xmlns="http://schemas.microsoft.com/office/spreadsheetml/2009/9/main" objectType="Drop" dropLines="11" dropStyle="combo" dx="22" fmlaLink="$G$3" fmlaRange="'Relay 1'!$AG$2:$AG$16" noThreeD="1" sel="3" val="2"/>
</file>

<file path=xl/ctrlProps/ctrlProp244.xml><?xml version="1.0" encoding="utf-8"?>
<formControlPr xmlns="http://schemas.microsoft.com/office/spreadsheetml/2009/9/main" objectType="Drop" dropLines="21" dropStyle="combo" dx="22" fmlaLink="'Relay 4'!$K$7" fmlaRange="'Relay 1'!$AC$2:$AC$22" noThreeD="1" sel="1" val="0"/>
</file>

<file path=xl/ctrlProps/ctrlProp245.xml><?xml version="1.0" encoding="utf-8"?>
<formControlPr xmlns="http://schemas.microsoft.com/office/spreadsheetml/2009/9/main" objectType="Drop" dropLines="21" dropStyle="combo" dx="22" fmlaLink="'Relay 4'!$K$8" fmlaRange="'Relay 1'!$AC$2:$AC$22" noThreeD="1" sel="1" val="0"/>
</file>

<file path=xl/ctrlProps/ctrlProp246.xml><?xml version="1.0" encoding="utf-8"?>
<formControlPr xmlns="http://schemas.microsoft.com/office/spreadsheetml/2009/9/main" objectType="Drop" dropLines="21" dropStyle="combo" dx="22" fmlaLink="'Relay 4'!$K$9" fmlaRange="'Relay 1'!$AC$2:$AC$22" noThreeD="1" sel="1" val="0"/>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CheckBox" fmlaLink="$F$6" lockText="1" noThreeD="1"/>
</file>

<file path=xl/ctrlProps/ctrlProp250.xml><?xml version="1.0" encoding="utf-8"?>
<formControlPr xmlns="http://schemas.microsoft.com/office/spreadsheetml/2009/9/main" objectType="CheckBox" fmlaLink="F15" lockText="1" noThreeD="1"/>
</file>

<file path=xl/ctrlProps/ctrlProp251.xml><?xml version="1.0" encoding="utf-8"?>
<formControlPr xmlns="http://schemas.microsoft.com/office/spreadsheetml/2009/9/main" objectType="CheckBox" fmlaLink="F16" lockText="1" noThreeD="1"/>
</file>

<file path=xl/ctrlProps/ctrlProp252.xml><?xml version="1.0" encoding="utf-8"?>
<formControlPr xmlns="http://schemas.microsoft.com/office/spreadsheetml/2009/9/main" objectType="Drop" dropLines="20" dropStyle="combo" dx="22" fmlaLink="'Relay 5'!B4" fmlaRange="List!A1:A62" noThreeD="1" sel="1" val="0"/>
</file>

<file path=xl/ctrlProps/ctrlProp253.xml><?xml version="1.0" encoding="utf-8"?>
<formControlPr xmlns="http://schemas.microsoft.com/office/spreadsheetml/2009/9/main" objectType="Drop" dropLines="6" dropStyle="combo" dx="22" fmlaLink="'Relay 5'!B11" fmlaRange="'Relay 1'!$AB$2:$AB$7" noThreeD="1" sel="1" val="0"/>
</file>

<file path=xl/ctrlProps/ctrlProp254.xml><?xml version="1.0" encoding="utf-8"?>
<formControlPr xmlns="http://schemas.microsoft.com/office/spreadsheetml/2009/9/main" objectType="Drop" dropLines="11" dropStyle="combo" dx="22" fmlaLink="'Relay 5'!$L$6" fmlaRange="'Relay 1'!$AD$2:$AD$12" noThreeD="1" sel="1" val="0"/>
</file>

<file path=xl/ctrlProps/ctrlProp255.xml><?xml version="1.0" encoding="utf-8"?>
<formControlPr xmlns="http://schemas.microsoft.com/office/spreadsheetml/2009/9/main" objectType="Drop" dropLines="21" dropStyle="combo" dx="22" fmlaLink="'Relay 5'!$I$7" fmlaRange="'Relay 1'!$AC$2:$AC$22" noThreeD="1" sel="1" val="0"/>
</file>

<file path=xl/ctrlProps/ctrlProp256.xml><?xml version="1.0" encoding="utf-8"?>
<formControlPr xmlns="http://schemas.microsoft.com/office/spreadsheetml/2009/9/main" objectType="Drop" dropLines="21" dropStyle="combo" dx="22" fmlaLink="'Relay 5'!$I$8" fmlaRange="'Relay 1'!$AC$2:$AC$22" noThreeD="1" sel="1" val="0"/>
</file>

<file path=xl/ctrlProps/ctrlProp257.xml><?xml version="1.0" encoding="utf-8"?>
<formControlPr xmlns="http://schemas.microsoft.com/office/spreadsheetml/2009/9/main" objectType="Drop" dropLines="21" dropStyle="combo" dx="22" fmlaLink="'Relay 5'!$I$9" fmlaRange="'Relay 1'!$AC$2:$AC$22" noThreeD="1" sel="1" val="0"/>
</file>

<file path=xl/ctrlProps/ctrlProp258.xml><?xml version="1.0" encoding="utf-8"?>
<formControlPr xmlns="http://schemas.microsoft.com/office/spreadsheetml/2009/9/main" objectType="CheckBox" fmlaLink="F4" lockText="1" noThreeD="1"/>
</file>

<file path=xl/ctrlProps/ctrlProp259.xml><?xml version="1.0" encoding="utf-8"?>
<formControlPr xmlns="http://schemas.microsoft.com/office/spreadsheetml/2009/9/main" objectType="CheckBox" fmlaLink="F5" lockText="1" noThreeD="1"/>
</file>

<file path=xl/ctrlProps/ctrlProp260.xml><?xml version="1.0" encoding="utf-8"?>
<formControlPr xmlns="http://schemas.microsoft.com/office/spreadsheetml/2009/9/main" objectType="Drop" dropLines="3" dropStyle="combo" dx="22" fmlaLink="B23" fmlaRange="'Relay 1'!$AE$2:$AE$4" noThreeD="1" sel="1" val="0"/>
</file>

<file path=xl/ctrlProps/ctrlProp261.xml><?xml version="1.0" encoding="utf-8"?>
<formControlPr xmlns="http://schemas.microsoft.com/office/spreadsheetml/2009/9/main" objectType="Drop" dropLines="11" dropStyle="combo" dx="22" fmlaLink="$G$3" fmlaRange="'Relay 1'!$AG$2:$AG$16" noThreeD="1" sel="7" val="4"/>
</file>

<file path=xl/ctrlProps/ctrlProp262.xml><?xml version="1.0" encoding="utf-8"?>
<formControlPr xmlns="http://schemas.microsoft.com/office/spreadsheetml/2009/9/main" objectType="Drop" dropLines="21" dropStyle="combo" dx="22" fmlaLink="'Relay 5'!$K$7" fmlaRange="'Relay 1'!$AC$2:$AC$22" noThreeD="1" sel="1" val="0"/>
</file>

<file path=xl/ctrlProps/ctrlProp263.xml><?xml version="1.0" encoding="utf-8"?>
<formControlPr xmlns="http://schemas.microsoft.com/office/spreadsheetml/2009/9/main" objectType="Drop" dropLines="21" dropStyle="combo" dx="22" fmlaLink="'Relay 5'!$K$8" fmlaRange="'Relay 1'!$AC$2:$AC$22" noThreeD="1" sel="1" val="0"/>
</file>

<file path=xl/ctrlProps/ctrlProp264.xml><?xml version="1.0" encoding="utf-8"?>
<formControlPr xmlns="http://schemas.microsoft.com/office/spreadsheetml/2009/9/main" objectType="Drop" dropLines="21" dropStyle="combo" dx="22" fmlaLink="'Relay 5'!$K$9" fmlaRange="'Relay 1'!$AC$2:$AC$22" noThreeD="1" sel="7" val="0"/>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CheckBox" fmlaLink="$F$6" lockText="1" noThreeD="1"/>
</file>

<file path=xl/ctrlProps/ctrlProp268.xml><?xml version="1.0" encoding="utf-8"?>
<formControlPr xmlns="http://schemas.microsoft.com/office/spreadsheetml/2009/9/main" objectType="CheckBox" fmlaLink="F15" lockText="1" noThreeD="1"/>
</file>

<file path=xl/ctrlProps/ctrlProp269.xml><?xml version="1.0" encoding="utf-8"?>
<formControlPr xmlns="http://schemas.microsoft.com/office/spreadsheetml/2009/9/main" objectType="CheckBox" fmlaLink="F16" lockText="1" noThreeD="1"/>
</file>

<file path=xl/ctrlProps/ctrlProp270.xml><?xml version="1.0" encoding="utf-8"?>
<formControlPr xmlns="http://schemas.microsoft.com/office/spreadsheetml/2009/9/main" objectType="Drop" dropLines="20" dropStyle="combo" dx="22" fmlaLink="'Relay 6'!B4" fmlaRange="List!A1:A62" noThreeD="1" sel="1" val="0"/>
</file>

<file path=xl/ctrlProps/ctrlProp271.xml><?xml version="1.0" encoding="utf-8"?>
<formControlPr xmlns="http://schemas.microsoft.com/office/spreadsheetml/2009/9/main" objectType="Drop" dropLines="6" dropStyle="combo" dx="22" fmlaLink="'Relay 6'!B11" fmlaRange="'Relay 1'!$AB$2:$AB$7" noThreeD="1" sel="1" val="0"/>
</file>

<file path=xl/ctrlProps/ctrlProp272.xml><?xml version="1.0" encoding="utf-8"?>
<formControlPr xmlns="http://schemas.microsoft.com/office/spreadsheetml/2009/9/main" objectType="Drop" dropLines="11" dropStyle="combo" dx="22" fmlaLink="'Relay 6'!$L$6" fmlaRange="'Relay 1'!$AD$2:$AD$12" noThreeD="1" sel="1" val="0"/>
</file>

<file path=xl/ctrlProps/ctrlProp273.xml><?xml version="1.0" encoding="utf-8"?>
<formControlPr xmlns="http://schemas.microsoft.com/office/spreadsheetml/2009/9/main" objectType="Drop" dropLines="21" dropStyle="combo" dx="22" fmlaLink="'Relay 6'!$I$7" fmlaRange="'Relay 1'!$AC$2:$AC$22" noThreeD="1" sel="1" val="0"/>
</file>

<file path=xl/ctrlProps/ctrlProp274.xml><?xml version="1.0" encoding="utf-8"?>
<formControlPr xmlns="http://schemas.microsoft.com/office/spreadsheetml/2009/9/main" objectType="Drop" dropLines="21" dropStyle="combo" dx="22" fmlaLink="'Relay 6'!$I$8" fmlaRange="'Relay 1'!$AC$2:$AC$22" noThreeD="1" sel="1" val="0"/>
</file>

<file path=xl/ctrlProps/ctrlProp275.xml><?xml version="1.0" encoding="utf-8"?>
<formControlPr xmlns="http://schemas.microsoft.com/office/spreadsheetml/2009/9/main" objectType="Drop" dropLines="21" dropStyle="combo" dx="22" fmlaLink="'Relay 6'!$I$9" fmlaRange="'Relay 1'!$AC$2:$AC$22" noThreeD="1" sel="1" val="0"/>
</file>

<file path=xl/ctrlProps/ctrlProp276.xml><?xml version="1.0" encoding="utf-8"?>
<formControlPr xmlns="http://schemas.microsoft.com/office/spreadsheetml/2009/9/main" objectType="CheckBox" fmlaLink="F4" lockText="1" noThreeD="1"/>
</file>

<file path=xl/ctrlProps/ctrlProp277.xml><?xml version="1.0" encoding="utf-8"?>
<formControlPr xmlns="http://schemas.microsoft.com/office/spreadsheetml/2009/9/main" objectType="CheckBox" fmlaLink="F5" lockText="1" noThreeD="1"/>
</file>

<file path=xl/ctrlProps/ctrlProp278.xml><?xml version="1.0" encoding="utf-8"?>
<formControlPr xmlns="http://schemas.microsoft.com/office/spreadsheetml/2009/9/main" objectType="Drop" dropLines="3" dropStyle="combo" dx="22" fmlaLink="B23" fmlaRange="'Relay 1'!$AE$2:$AE$4" noThreeD="1" sel="1" val="0"/>
</file>

<file path=xl/ctrlProps/ctrlProp279.xml><?xml version="1.0" encoding="utf-8"?>
<formControlPr xmlns="http://schemas.microsoft.com/office/spreadsheetml/2009/9/main" objectType="Drop" dropLines="11" dropStyle="combo" dx="22" fmlaLink="$G$3" fmlaRange="'Relay 1'!$AG$2:$AG$16" noThreeD="1" sel="10" val="4"/>
</file>

<file path=xl/ctrlProps/ctrlProp280.xml><?xml version="1.0" encoding="utf-8"?>
<formControlPr xmlns="http://schemas.microsoft.com/office/spreadsheetml/2009/9/main" objectType="Drop" dropLines="21" dropStyle="combo" dx="22" fmlaLink="'Relay 6'!$K$7" fmlaRange="'Relay 1'!$AC$2:$AC$22" noThreeD="1" sel="1" val="0"/>
</file>

<file path=xl/ctrlProps/ctrlProp281.xml><?xml version="1.0" encoding="utf-8"?>
<formControlPr xmlns="http://schemas.microsoft.com/office/spreadsheetml/2009/9/main" objectType="Drop" dropLines="21" dropStyle="combo" dx="22" fmlaLink="'Relay 6'!$K$8" fmlaRange="'Relay 1'!$AC$2:$AC$22" noThreeD="1" sel="1" val="0"/>
</file>

<file path=xl/ctrlProps/ctrlProp282.xml><?xml version="1.0" encoding="utf-8"?>
<formControlPr xmlns="http://schemas.microsoft.com/office/spreadsheetml/2009/9/main" objectType="Drop" dropLines="21" dropStyle="combo" dx="22" fmlaLink="'Relay 6'!$K$9" fmlaRange="'Relay 1'!$AC$2:$AC$22" noThreeD="1" sel="1" val="0"/>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CheckBox" checked="Checked" fmlaLink="$F$6" lockText="1" noThreeD="1"/>
</file>

<file path=xl/ctrlProps/ctrlProp286.xml><?xml version="1.0" encoding="utf-8"?>
<formControlPr xmlns="http://schemas.microsoft.com/office/spreadsheetml/2009/9/main" objectType="CheckBox" fmlaLink="F15" lockText="1" noThreeD="1"/>
</file>

<file path=xl/ctrlProps/ctrlProp287.xml><?xml version="1.0" encoding="utf-8"?>
<formControlPr xmlns="http://schemas.microsoft.com/office/spreadsheetml/2009/9/main" objectType="CheckBox" fmlaLink="F16" lockText="1" noThreeD="1"/>
</file>

<file path=xl/ctrlProps/ctrlProp288.xml><?xml version="1.0" encoding="utf-8"?>
<formControlPr xmlns="http://schemas.microsoft.com/office/spreadsheetml/2009/9/main" objectType="Drop" dropLines="20" dropStyle="combo" dx="22" fmlaLink="'Relay 7'!B4" fmlaRange="List!A1:A62" noThreeD="1" sel="1" val="0"/>
</file>

<file path=xl/ctrlProps/ctrlProp289.xml><?xml version="1.0" encoding="utf-8"?>
<formControlPr xmlns="http://schemas.microsoft.com/office/spreadsheetml/2009/9/main" objectType="Drop" dropLines="6" dropStyle="combo" dx="22" fmlaLink="'Relay 7'!B11" fmlaRange="'Relay 1'!$AB$2:$AB$7" noThreeD="1" sel="1" val="0"/>
</file>

<file path=xl/ctrlProps/ctrlProp290.xml><?xml version="1.0" encoding="utf-8"?>
<formControlPr xmlns="http://schemas.microsoft.com/office/spreadsheetml/2009/9/main" objectType="Drop" dropLines="11" dropStyle="combo" dx="22" fmlaLink="'Relay 7'!$L$6" fmlaRange="'Relay 1'!$AD$2:$AD$12" noThreeD="1" sel="1" val="0"/>
</file>

<file path=xl/ctrlProps/ctrlProp291.xml><?xml version="1.0" encoding="utf-8"?>
<formControlPr xmlns="http://schemas.microsoft.com/office/spreadsheetml/2009/9/main" objectType="Drop" dropLines="21" dropStyle="combo" dx="22" fmlaLink="'Relay 7'!$I$7" fmlaRange="'Relay 1'!$AC$2:$AC$22" noThreeD="1" sel="1" val="0"/>
</file>

<file path=xl/ctrlProps/ctrlProp292.xml><?xml version="1.0" encoding="utf-8"?>
<formControlPr xmlns="http://schemas.microsoft.com/office/spreadsheetml/2009/9/main" objectType="Drop" dropLines="21" dropStyle="combo" dx="22" fmlaLink="'Relay 7'!$I$8" fmlaRange="'Relay 1'!$AC$2:$AC$22" noThreeD="1" sel="1" val="0"/>
</file>

<file path=xl/ctrlProps/ctrlProp293.xml><?xml version="1.0" encoding="utf-8"?>
<formControlPr xmlns="http://schemas.microsoft.com/office/spreadsheetml/2009/9/main" objectType="Drop" dropLines="21" dropStyle="combo" dx="22" fmlaLink="'Relay 7'!$I$9" fmlaRange="'Relay 1'!$AC$2:$AC$22" noThreeD="1" sel="1" val="0"/>
</file>

<file path=xl/ctrlProps/ctrlProp294.xml><?xml version="1.0" encoding="utf-8"?>
<formControlPr xmlns="http://schemas.microsoft.com/office/spreadsheetml/2009/9/main" objectType="CheckBox" fmlaLink="F4" lockText="1" noThreeD="1"/>
</file>

<file path=xl/ctrlProps/ctrlProp295.xml><?xml version="1.0" encoding="utf-8"?>
<formControlPr xmlns="http://schemas.microsoft.com/office/spreadsheetml/2009/9/main" objectType="CheckBox" fmlaLink="F5" lockText="1" noThreeD="1"/>
</file>

<file path=xl/ctrlProps/ctrlProp296.xml><?xml version="1.0" encoding="utf-8"?>
<formControlPr xmlns="http://schemas.microsoft.com/office/spreadsheetml/2009/9/main" objectType="Drop" dropLines="3" dropStyle="combo" dx="22" fmlaLink="B23" fmlaRange="'Relay 1'!$AE$2:$AE$4" noThreeD="1" sel="1" val="0"/>
</file>

<file path=xl/ctrlProps/ctrlProp297.xml><?xml version="1.0" encoding="utf-8"?>
<formControlPr xmlns="http://schemas.microsoft.com/office/spreadsheetml/2009/9/main" objectType="Drop" dropLines="11" dropStyle="combo" dx="22" fmlaLink="$G$3" fmlaRange="'Relay 1'!$AG$2:$AG$16" noThreeD="1" sel="1" val="0"/>
</file>

<file path=xl/ctrlProps/ctrlProp298.xml><?xml version="1.0" encoding="utf-8"?>
<formControlPr xmlns="http://schemas.microsoft.com/office/spreadsheetml/2009/9/main" objectType="Drop" dropLines="21" dropStyle="combo" dx="22" fmlaLink="'Relay 7'!$K$7" fmlaRange="'Relay 1'!$AC$2:$AC$22" noThreeD="1" sel="1" val="0"/>
</file>

<file path=xl/ctrlProps/ctrlProp299.xml><?xml version="1.0" encoding="utf-8"?>
<formControlPr xmlns="http://schemas.microsoft.com/office/spreadsheetml/2009/9/main" objectType="Drop" dropLines="21" dropStyle="combo" dx="22" fmlaLink="'Relay 7'!$K$8" fmlaRange="'Relay 1'!$AC$2:$AC$22" noThreeD="1" sel="1" val="0"/>
</file>

<file path=xl/ctrlProps/ctrlProp300.xml><?xml version="1.0" encoding="utf-8"?>
<formControlPr xmlns="http://schemas.microsoft.com/office/spreadsheetml/2009/9/main" objectType="Drop" dropLines="21" dropStyle="combo" dx="22" fmlaLink="'Relay 7'!$K$9" fmlaRange="'Relay 1'!$AC$2:$AC$22" noThreeD="1" sel="1" val="0"/>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CheckBox" fmlaLink="$F$6" lockText="1" noThreeD="1"/>
</file>

<file path=xl/ctrlProps/ctrlProp304.xml><?xml version="1.0" encoding="utf-8"?>
<formControlPr xmlns="http://schemas.microsoft.com/office/spreadsheetml/2009/9/main" objectType="CheckBox" fmlaLink="F15" lockText="1" noThreeD="1"/>
</file>

<file path=xl/ctrlProps/ctrlProp305.xml><?xml version="1.0" encoding="utf-8"?>
<formControlPr xmlns="http://schemas.microsoft.com/office/spreadsheetml/2009/9/main" objectType="CheckBox" fmlaLink="F16" lockText="1" noThreeD="1"/>
</file>

<file path=xl/ctrlProps/ctrlProp306.xml><?xml version="1.0" encoding="utf-8"?>
<formControlPr xmlns="http://schemas.microsoft.com/office/spreadsheetml/2009/9/main" objectType="Drop" dropLines="20" dropStyle="combo" dx="22" fmlaLink="'Relay 8'!B4" fmlaRange="List!A1:A62" noThreeD="1" sel="1" val="0"/>
</file>

<file path=xl/ctrlProps/ctrlProp307.xml><?xml version="1.0" encoding="utf-8"?>
<formControlPr xmlns="http://schemas.microsoft.com/office/spreadsheetml/2009/9/main" objectType="Drop" dropLines="6" dropStyle="combo" dx="22" fmlaLink="'Relay 8'!B11" fmlaRange="'Relay 1'!$AB$2:$AB$7" noThreeD="1" sel="1" val="0"/>
</file>

<file path=xl/ctrlProps/ctrlProp308.xml><?xml version="1.0" encoding="utf-8"?>
<formControlPr xmlns="http://schemas.microsoft.com/office/spreadsheetml/2009/9/main" objectType="Drop" dropLines="11" dropStyle="combo" dx="22" fmlaLink="'Relay 8'!$L$6" fmlaRange="'Relay 1'!$AD$2:$AD$12" noThreeD="1" sel="1" val="0"/>
</file>

<file path=xl/ctrlProps/ctrlProp309.xml><?xml version="1.0" encoding="utf-8"?>
<formControlPr xmlns="http://schemas.microsoft.com/office/spreadsheetml/2009/9/main" objectType="Drop" dropLines="21" dropStyle="combo" dx="22" fmlaLink="'Relay 8'!$I$7" fmlaRange="'Relay 1'!$AC$2:$AC$22" noThreeD="1" sel="1" val="0"/>
</file>

<file path=xl/ctrlProps/ctrlProp310.xml><?xml version="1.0" encoding="utf-8"?>
<formControlPr xmlns="http://schemas.microsoft.com/office/spreadsheetml/2009/9/main" objectType="Drop" dropLines="21" dropStyle="combo" dx="22" fmlaLink="'Relay 8'!$I$8" fmlaRange="'Relay 1'!$AC$2:$AC$22" noThreeD="1" sel="1" val="0"/>
</file>

<file path=xl/ctrlProps/ctrlProp311.xml><?xml version="1.0" encoding="utf-8"?>
<formControlPr xmlns="http://schemas.microsoft.com/office/spreadsheetml/2009/9/main" objectType="Drop" dropLines="21" dropStyle="combo" dx="22" fmlaLink="'Relay 8'!$I$9" fmlaRange="'Relay 1'!$AC$2:$AC$22" noThreeD="1" sel="1" val="0"/>
</file>

<file path=xl/ctrlProps/ctrlProp312.xml><?xml version="1.0" encoding="utf-8"?>
<formControlPr xmlns="http://schemas.microsoft.com/office/spreadsheetml/2009/9/main" objectType="CheckBox" fmlaLink="F4" lockText="1" noThreeD="1"/>
</file>

<file path=xl/ctrlProps/ctrlProp313.xml><?xml version="1.0" encoding="utf-8"?>
<formControlPr xmlns="http://schemas.microsoft.com/office/spreadsheetml/2009/9/main" objectType="CheckBox" checked="Checked" fmlaLink="F5" lockText="1" noThreeD="1"/>
</file>

<file path=xl/ctrlProps/ctrlProp314.xml><?xml version="1.0" encoding="utf-8"?>
<formControlPr xmlns="http://schemas.microsoft.com/office/spreadsheetml/2009/9/main" objectType="Drop" dropLines="3" dropStyle="combo" dx="22" fmlaLink="B23" fmlaRange="'Relay 1'!$AE$2:$AE$4" noThreeD="1" sel="1" val="0"/>
</file>

<file path=xl/ctrlProps/ctrlProp315.xml><?xml version="1.0" encoding="utf-8"?>
<formControlPr xmlns="http://schemas.microsoft.com/office/spreadsheetml/2009/9/main" objectType="Drop" dropLines="11" dropStyle="combo" dx="22" fmlaLink="$G$3" fmlaRange="'Relay 1'!$AG$2:$AG$16" noThreeD="1" sel="11" val="0"/>
</file>

<file path=xl/ctrlProps/ctrlProp316.xml><?xml version="1.0" encoding="utf-8"?>
<formControlPr xmlns="http://schemas.microsoft.com/office/spreadsheetml/2009/9/main" objectType="Drop" dropLines="21" dropStyle="combo" dx="22" fmlaLink="'Relay 8'!$K$7" fmlaRange="'Relay 1'!$AC$2:$AC$22" noThreeD="1" sel="1" val="0"/>
</file>

<file path=xl/ctrlProps/ctrlProp317.xml><?xml version="1.0" encoding="utf-8"?>
<formControlPr xmlns="http://schemas.microsoft.com/office/spreadsheetml/2009/9/main" objectType="Drop" dropLines="21" dropStyle="combo" dx="22" fmlaLink="'Relay 8'!$K$8" fmlaRange="'Relay 1'!$AC$2:$AC$22" noThreeD="1" sel="1" val="0"/>
</file>

<file path=xl/ctrlProps/ctrlProp318.xml><?xml version="1.0" encoding="utf-8"?>
<formControlPr xmlns="http://schemas.microsoft.com/office/spreadsheetml/2009/9/main" objectType="Drop" dropLines="21" dropStyle="combo" dx="22" fmlaLink="'Relay 8'!$K$9" fmlaRange="'Relay 1'!$AC$2:$AC$22" noThreeD="1" sel="1" val="0"/>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CheckBox" fmlaLink="$F$6" lockText="1" noThreeD="1"/>
</file>

<file path=xl/ctrlProps/ctrlProp322.xml><?xml version="1.0" encoding="utf-8"?>
<formControlPr xmlns="http://schemas.microsoft.com/office/spreadsheetml/2009/9/main" objectType="CheckBox" fmlaLink="F15" lockText="1" noThreeD="1"/>
</file>

<file path=xl/ctrlProps/ctrlProp323.xml><?xml version="1.0" encoding="utf-8"?>
<formControlPr xmlns="http://schemas.microsoft.com/office/spreadsheetml/2009/9/main" objectType="CheckBox" fmlaLink="F16" lockText="1" noThreeD="1"/>
</file>

<file path=xl/ctrlProps/ctrlProp324.xml><?xml version="1.0" encoding="utf-8"?>
<formControlPr xmlns="http://schemas.microsoft.com/office/spreadsheetml/2009/9/main" objectType="Drop" dropLines="20" dropStyle="combo" dx="22" fmlaLink="'Relay 9'!B4" fmlaRange="List!A1:A62" noThreeD="1" sel="1" val="0"/>
</file>

<file path=xl/ctrlProps/ctrlProp325.xml><?xml version="1.0" encoding="utf-8"?>
<formControlPr xmlns="http://schemas.microsoft.com/office/spreadsheetml/2009/9/main" objectType="Drop" dropLines="6" dropStyle="combo" dx="22" fmlaLink="'Relay 9'!B11" fmlaRange="'Relay 1'!$AB$2:$AB$7" noThreeD="1" sel="1" val="0"/>
</file>

<file path=xl/ctrlProps/ctrlProp326.xml><?xml version="1.0" encoding="utf-8"?>
<formControlPr xmlns="http://schemas.microsoft.com/office/spreadsheetml/2009/9/main" objectType="Drop" dropLines="11" dropStyle="combo" dx="22" fmlaLink="'Relay 9'!$L$6" fmlaRange="'Relay 1'!$AD$2:$AD$12" noThreeD="1" sel="1" val="0"/>
</file>

<file path=xl/ctrlProps/ctrlProp327.xml><?xml version="1.0" encoding="utf-8"?>
<formControlPr xmlns="http://schemas.microsoft.com/office/spreadsheetml/2009/9/main" objectType="Drop" dropLines="21" dropStyle="combo" dx="22" fmlaLink="'Relay 9'!$I$7" fmlaRange="'Relay 1'!$AC$2:$AC$22" noThreeD="1" sel="1" val="0"/>
</file>

<file path=xl/ctrlProps/ctrlProp328.xml><?xml version="1.0" encoding="utf-8"?>
<formControlPr xmlns="http://schemas.microsoft.com/office/spreadsheetml/2009/9/main" objectType="Drop" dropLines="21" dropStyle="combo" dx="22" fmlaLink="'Relay 9'!$I$8" fmlaRange="'Relay 1'!$AC$2:$AC$22" noThreeD="1" sel="1" val="0"/>
</file>

<file path=xl/ctrlProps/ctrlProp329.xml><?xml version="1.0" encoding="utf-8"?>
<formControlPr xmlns="http://schemas.microsoft.com/office/spreadsheetml/2009/9/main" objectType="Drop" dropLines="21" dropStyle="combo" dx="22" fmlaLink="'Relay 9'!$I$9" fmlaRange="'Relay 1'!$AC$2:$AC$22" noThreeD="1" sel="1" val="0"/>
</file>

<file path=xl/ctrlProps/ctrlProp330.xml><?xml version="1.0" encoding="utf-8"?>
<formControlPr xmlns="http://schemas.microsoft.com/office/spreadsheetml/2009/9/main" objectType="CheckBox" fmlaLink="F4" lockText="1" noThreeD="1"/>
</file>

<file path=xl/ctrlProps/ctrlProp331.xml><?xml version="1.0" encoding="utf-8"?>
<formControlPr xmlns="http://schemas.microsoft.com/office/spreadsheetml/2009/9/main" objectType="CheckBox" fmlaLink="F5" lockText="1" noThreeD="1"/>
</file>

<file path=xl/ctrlProps/ctrlProp332.xml><?xml version="1.0" encoding="utf-8"?>
<formControlPr xmlns="http://schemas.microsoft.com/office/spreadsheetml/2009/9/main" objectType="Drop" dropLines="3" dropStyle="combo" dx="22" fmlaLink="B23" fmlaRange="'Relay 1'!$AE$2:$AE$4" noThreeD="1" sel="1" val="0"/>
</file>

<file path=xl/ctrlProps/ctrlProp333.xml><?xml version="1.0" encoding="utf-8"?>
<formControlPr xmlns="http://schemas.microsoft.com/office/spreadsheetml/2009/9/main" objectType="Drop" dropLines="11" dropStyle="combo" dx="22" fmlaLink="$G$3" fmlaRange="'Relay 1'!$AG$2:$AG$16" noThreeD="1" sel="5" val="0"/>
</file>

<file path=xl/ctrlProps/ctrlProp334.xml><?xml version="1.0" encoding="utf-8"?>
<formControlPr xmlns="http://schemas.microsoft.com/office/spreadsheetml/2009/9/main" objectType="Drop" dropLines="21" dropStyle="combo" dx="22" fmlaLink="'Relay 9'!$K$7" fmlaRange="'Relay 1'!$AC$2:$AC$22" noThreeD="1" sel="1" val="0"/>
</file>

<file path=xl/ctrlProps/ctrlProp335.xml><?xml version="1.0" encoding="utf-8"?>
<formControlPr xmlns="http://schemas.microsoft.com/office/spreadsheetml/2009/9/main" objectType="Drop" dropLines="21" dropStyle="combo" dx="22" fmlaLink="'Relay 9'!$K$8" fmlaRange="'Relay 1'!$AC$2:$AC$22" noThreeD="1" sel="1" val="0"/>
</file>

<file path=xl/ctrlProps/ctrlProp336.xml><?xml version="1.0" encoding="utf-8"?>
<formControlPr xmlns="http://schemas.microsoft.com/office/spreadsheetml/2009/9/main" objectType="Drop" dropLines="21" dropStyle="combo" dx="22" fmlaLink="'Relay 9'!$K$9" fmlaRange="'Relay 1'!$AC$2:$AC$22" noThreeD="1" sel="1" val="0"/>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CheckBox" fmlaLink="$F$6" lockText="1" noThreeD="1"/>
</file>

<file path=xl/ctrlProps/ctrlProp340.xml><?xml version="1.0" encoding="utf-8"?>
<formControlPr xmlns="http://schemas.microsoft.com/office/spreadsheetml/2009/9/main" objectType="CheckBox" fmlaLink="F15" lockText="1" noThreeD="1"/>
</file>

<file path=xl/ctrlProps/ctrlProp341.xml><?xml version="1.0" encoding="utf-8"?>
<formControlPr xmlns="http://schemas.microsoft.com/office/spreadsheetml/2009/9/main" objectType="CheckBox" fmlaLink="F16" lockText="1" noThreeD="1"/>
</file>

<file path=xl/ctrlProps/ctrlProp342.xml><?xml version="1.0" encoding="utf-8"?>
<formControlPr xmlns="http://schemas.microsoft.com/office/spreadsheetml/2009/9/main" objectType="Drop" dropLines="20" dropStyle="combo" dx="22" fmlaLink="'Relay 10'!B4" fmlaRange="List!A1:A62" noThreeD="1" sel="1" val="0"/>
</file>

<file path=xl/ctrlProps/ctrlProp343.xml><?xml version="1.0" encoding="utf-8"?>
<formControlPr xmlns="http://schemas.microsoft.com/office/spreadsheetml/2009/9/main" objectType="Drop" dropLines="6" dropStyle="combo" dx="22" fmlaLink="'Relay 10'!B11" fmlaRange="'Relay 1'!$AB$2:$AB$7" noThreeD="1" sel="1" val="0"/>
</file>

<file path=xl/ctrlProps/ctrlProp344.xml><?xml version="1.0" encoding="utf-8"?>
<formControlPr xmlns="http://schemas.microsoft.com/office/spreadsheetml/2009/9/main" objectType="Drop" dropLines="11" dropStyle="combo" dx="22" fmlaLink="'Relay 10'!$L$6" fmlaRange="'Relay 1'!$AD$2:$AD$12" noThreeD="1" sel="1" val="0"/>
</file>

<file path=xl/ctrlProps/ctrlProp345.xml><?xml version="1.0" encoding="utf-8"?>
<formControlPr xmlns="http://schemas.microsoft.com/office/spreadsheetml/2009/9/main" objectType="Drop" dropLines="21" dropStyle="combo" dx="22" fmlaLink="'Relay 10'!$I$7" fmlaRange="'Relay 1'!$AC$2:$AC$22" noThreeD="1" sel="1" val="0"/>
</file>

<file path=xl/ctrlProps/ctrlProp346.xml><?xml version="1.0" encoding="utf-8"?>
<formControlPr xmlns="http://schemas.microsoft.com/office/spreadsheetml/2009/9/main" objectType="Drop" dropLines="21" dropStyle="combo" dx="22" fmlaLink="'Relay 10'!$I$8" fmlaRange="'Relay 1'!$AC$2:$AC$22" noThreeD="1" sel="1" val="0"/>
</file>

<file path=xl/ctrlProps/ctrlProp347.xml><?xml version="1.0" encoding="utf-8"?>
<formControlPr xmlns="http://schemas.microsoft.com/office/spreadsheetml/2009/9/main" objectType="Drop" dropLines="21" dropStyle="combo" dx="22" fmlaLink="'Relay 10'!$I$9" fmlaRange="'Relay 1'!$AC$2:$AC$22" noThreeD="1" sel="1" val="0"/>
</file>

<file path=xl/ctrlProps/ctrlProp348.xml><?xml version="1.0" encoding="utf-8"?>
<formControlPr xmlns="http://schemas.microsoft.com/office/spreadsheetml/2009/9/main" objectType="CheckBox" fmlaLink="F4" lockText="1" noThreeD="1"/>
</file>

<file path=xl/ctrlProps/ctrlProp349.xml><?xml version="1.0" encoding="utf-8"?>
<formControlPr xmlns="http://schemas.microsoft.com/office/spreadsheetml/2009/9/main" objectType="CheckBox" fmlaLink="F5" lockText="1" noThreeD="1"/>
</file>

<file path=xl/ctrlProps/ctrlProp350.xml><?xml version="1.0" encoding="utf-8"?>
<formControlPr xmlns="http://schemas.microsoft.com/office/spreadsheetml/2009/9/main" objectType="Drop" dropLines="3" dropStyle="combo" dx="22" fmlaLink="B23" fmlaRange="'Relay 1'!$AE$2:$AE$4" noThreeD="1" sel="1" val="0"/>
</file>

<file path=xl/ctrlProps/ctrlProp351.xml><?xml version="1.0" encoding="utf-8"?>
<formControlPr xmlns="http://schemas.microsoft.com/office/spreadsheetml/2009/9/main" objectType="Drop" dropLines="11" dropStyle="combo" dx="22" fmlaLink="$G$3" fmlaRange="'Relay 1'!$AG$2:$AG$16" noThreeD="1" sel="5" val="0"/>
</file>

<file path=xl/ctrlProps/ctrlProp352.xml><?xml version="1.0" encoding="utf-8"?>
<formControlPr xmlns="http://schemas.microsoft.com/office/spreadsheetml/2009/9/main" objectType="Drop" dropLines="21" dropStyle="combo" dx="22" fmlaLink="'Relay 10'!$K$7" fmlaRange="'Relay 1'!$AC$2:$AC$22" noThreeD="1" sel="1" val="0"/>
</file>

<file path=xl/ctrlProps/ctrlProp353.xml><?xml version="1.0" encoding="utf-8"?>
<formControlPr xmlns="http://schemas.microsoft.com/office/spreadsheetml/2009/9/main" objectType="Drop" dropLines="21" dropStyle="combo" dx="22" fmlaLink="'Relay 10'!$K$8" fmlaRange="'Relay 1'!$AC$2:$AC$22" noThreeD="1" sel="1" val="0"/>
</file>

<file path=xl/ctrlProps/ctrlProp354.xml><?xml version="1.0" encoding="utf-8"?>
<formControlPr xmlns="http://schemas.microsoft.com/office/spreadsheetml/2009/9/main" objectType="Drop" dropLines="21" dropStyle="combo" dx="22" fmlaLink="'Relay 10'!$K$9" fmlaRange="'Relay 1'!$AC$2:$AC$22" noThreeD="1" sel="1" val="0"/>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CheckBox" fmlaLink="$F$6" lockText="1" noThreeD="1"/>
</file>

<file path=xl/ctrlProps/ctrlProp358.xml><?xml version="1.0" encoding="utf-8"?>
<formControlPr xmlns="http://schemas.microsoft.com/office/spreadsheetml/2009/9/main" objectType="CheckBox" fmlaLink="F15" lockText="1" noThreeD="1"/>
</file>

<file path=xl/ctrlProps/ctrlProp359.xml><?xml version="1.0" encoding="utf-8"?>
<formControlPr xmlns="http://schemas.microsoft.com/office/spreadsheetml/2009/9/main" objectType="CheckBox" fmlaLink="F16"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2</xdr:col>
          <xdr:colOff>0</xdr:colOff>
          <xdr:row>2</xdr:row>
          <xdr:rowOff>0</xdr:rowOff>
        </xdr:to>
        <xdr:sp macro="" textlink="">
          <xdr:nvSpPr>
            <xdr:cNvPr id="7189" name="HideFault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9525</xdr:rowOff>
        </xdr:from>
        <xdr:to>
          <xdr:col>2</xdr:col>
          <xdr:colOff>0</xdr:colOff>
          <xdr:row>6</xdr:row>
          <xdr:rowOff>0</xdr:rowOff>
        </xdr:to>
        <xdr:sp macro="" textlink="">
          <xdr:nvSpPr>
            <xdr:cNvPr id="7190" name="HideFault2"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9525</xdr:rowOff>
        </xdr:from>
        <xdr:to>
          <xdr:col>2</xdr:col>
          <xdr:colOff>0</xdr:colOff>
          <xdr:row>10</xdr:row>
          <xdr:rowOff>0</xdr:rowOff>
        </xdr:to>
        <xdr:sp macro="" textlink="">
          <xdr:nvSpPr>
            <xdr:cNvPr id="7191" name="HideFault3"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9525</xdr:rowOff>
        </xdr:from>
        <xdr:to>
          <xdr:col>2</xdr:col>
          <xdr:colOff>0</xdr:colOff>
          <xdr:row>14</xdr:row>
          <xdr:rowOff>0</xdr:rowOff>
        </xdr:to>
        <xdr:sp macro="" textlink="">
          <xdr:nvSpPr>
            <xdr:cNvPr id="7192" name="HideFault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9525</xdr:rowOff>
        </xdr:from>
        <xdr:to>
          <xdr:col>2</xdr:col>
          <xdr:colOff>0</xdr:colOff>
          <xdr:row>18</xdr:row>
          <xdr:rowOff>0</xdr:rowOff>
        </xdr:to>
        <xdr:sp macro="" textlink="">
          <xdr:nvSpPr>
            <xdr:cNvPr id="7193" name="HideFault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2</xdr:col>
          <xdr:colOff>0</xdr:colOff>
          <xdr:row>22</xdr:row>
          <xdr:rowOff>0</xdr:rowOff>
        </xdr:to>
        <xdr:sp macro="" textlink="">
          <xdr:nvSpPr>
            <xdr:cNvPr id="7194" name="HideFault6"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Fault6</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9525</xdr:rowOff>
        </xdr:from>
        <xdr:to>
          <xdr:col>2</xdr:col>
          <xdr:colOff>0</xdr:colOff>
          <xdr:row>26</xdr:row>
          <xdr:rowOff>0</xdr:rowOff>
        </xdr:to>
        <xdr:sp macro="" textlink="">
          <xdr:nvSpPr>
            <xdr:cNvPr id="7195" name="HideFault7" hidden="1">
              <a:extLst>
                <a:ext uri="{63B3BB69-23CF-44E3-9099-C40C66FF867C}">
                  <a14:compatExt spid="_x0000_s7195"/>
                </a:ext>
                <a:ext uri="{FF2B5EF4-FFF2-40B4-BE49-F238E27FC236}">
                  <a16:creationId xmlns:a16="http://schemas.microsoft.com/office/drawing/2014/main" id="{00000000-0008-0000-0100-00001B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9525</xdr:rowOff>
        </xdr:from>
        <xdr:to>
          <xdr:col>2</xdr:col>
          <xdr:colOff>0</xdr:colOff>
          <xdr:row>30</xdr:row>
          <xdr:rowOff>0</xdr:rowOff>
        </xdr:to>
        <xdr:sp macro="" textlink="">
          <xdr:nvSpPr>
            <xdr:cNvPr id="7196" name="HideFault8" hidden="1">
              <a:extLst>
                <a:ext uri="{63B3BB69-23CF-44E3-9099-C40C66FF867C}">
                  <a14:compatExt spid="_x0000_s7196"/>
                </a:ext>
                <a:ext uri="{FF2B5EF4-FFF2-40B4-BE49-F238E27FC236}">
                  <a16:creationId xmlns:a16="http://schemas.microsoft.com/office/drawing/2014/main" id="{00000000-0008-0000-0100-00001C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Fault8</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0</xdr:colOff>
          <xdr:row>34</xdr:row>
          <xdr:rowOff>0</xdr:rowOff>
        </xdr:to>
        <xdr:sp macro="" textlink="">
          <xdr:nvSpPr>
            <xdr:cNvPr id="7197" name="HideFault9" hidden="1">
              <a:extLst>
                <a:ext uri="{63B3BB69-23CF-44E3-9099-C40C66FF867C}">
                  <a14:compatExt spid="_x0000_s7197"/>
                </a:ext>
                <a:ext uri="{FF2B5EF4-FFF2-40B4-BE49-F238E27FC236}">
                  <a16:creationId xmlns:a16="http://schemas.microsoft.com/office/drawing/2014/main" id="{00000000-0008-0000-0100-00001D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Fault9</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9525</xdr:rowOff>
        </xdr:from>
        <xdr:to>
          <xdr:col>2</xdr:col>
          <xdr:colOff>0</xdr:colOff>
          <xdr:row>38</xdr:row>
          <xdr:rowOff>0</xdr:rowOff>
        </xdr:to>
        <xdr:sp macro="" textlink="">
          <xdr:nvSpPr>
            <xdr:cNvPr id="7198" name="HideFault10" hidden="1">
              <a:extLst>
                <a:ext uri="{63B3BB69-23CF-44E3-9099-C40C66FF867C}">
                  <a14:compatExt spid="_x0000_s7198"/>
                </a:ext>
                <a:ext uri="{FF2B5EF4-FFF2-40B4-BE49-F238E27FC236}">
                  <a16:creationId xmlns:a16="http://schemas.microsoft.com/office/drawing/2014/main" id="{00000000-0008-0000-0100-00001E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9525</xdr:rowOff>
        </xdr:from>
        <xdr:to>
          <xdr:col>2</xdr:col>
          <xdr:colOff>0</xdr:colOff>
          <xdr:row>42</xdr:row>
          <xdr:rowOff>0</xdr:rowOff>
        </xdr:to>
        <xdr:sp macro="" textlink="">
          <xdr:nvSpPr>
            <xdr:cNvPr id="7199" name="HideFault11" hidden="1">
              <a:extLst>
                <a:ext uri="{63B3BB69-23CF-44E3-9099-C40C66FF867C}">
                  <a14:compatExt spid="_x0000_s7199"/>
                </a:ext>
                <a:ext uri="{FF2B5EF4-FFF2-40B4-BE49-F238E27FC236}">
                  <a16:creationId xmlns:a16="http://schemas.microsoft.com/office/drawing/2014/main" id="{00000000-0008-0000-0100-00001F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Fault11</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9525</xdr:rowOff>
        </xdr:from>
        <xdr:to>
          <xdr:col>2</xdr:col>
          <xdr:colOff>0</xdr:colOff>
          <xdr:row>46</xdr:row>
          <xdr:rowOff>0</xdr:rowOff>
        </xdr:to>
        <xdr:sp macro="" textlink="">
          <xdr:nvSpPr>
            <xdr:cNvPr id="7200" name="HideFault12" hidden="1">
              <a:extLst>
                <a:ext uri="{63B3BB69-23CF-44E3-9099-C40C66FF867C}">
                  <a14:compatExt spid="_x0000_s7200"/>
                </a:ext>
                <a:ext uri="{FF2B5EF4-FFF2-40B4-BE49-F238E27FC236}">
                  <a16:creationId xmlns:a16="http://schemas.microsoft.com/office/drawing/2014/main" id="{00000000-0008-0000-0100-000020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9525</xdr:rowOff>
        </xdr:from>
        <xdr:to>
          <xdr:col>2</xdr:col>
          <xdr:colOff>0</xdr:colOff>
          <xdr:row>50</xdr:row>
          <xdr:rowOff>0</xdr:rowOff>
        </xdr:to>
        <xdr:sp macro="" textlink="">
          <xdr:nvSpPr>
            <xdr:cNvPr id="7201" name="HideFault13"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9525</xdr:rowOff>
        </xdr:from>
        <xdr:to>
          <xdr:col>2</xdr:col>
          <xdr:colOff>0</xdr:colOff>
          <xdr:row>54</xdr:row>
          <xdr:rowOff>0</xdr:rowOff>
        </xdr:to>
        <xdr:sp macro="" textlink="">
          <xdr:nvSpPr>
            <xdr:cNvPr id="7202" name="HideFault14"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9525</xdr:rowOff>
        </xdr:from>
        <xdr:to>
          <xdr:col>2</xdr:col>
          <xdr:colOff>0</xdr:colOff>
          <xdr:row>58</xdr:row>
          <xdr:rowOff>0</xdr:rowOff>
        </xdr:to>
        <xdr:sp macro="" textlink="">
          <xdr:nvSpPr>
            <xdr:cNvPr id="7203" name="HideFault15"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9525</xdr:rowOff>
        </xdr:from>
        <xdr:to>
          <xdr:col>2</xdr:col>
          <xdr:colOff>0</xdr:colOff>
          <xdr:row>62</xdr:row>
          <xdr:rowOff>0</xdr:rowOff>
        </xdr:to>
        <xdr:sp macro="" textlink="">
          <xdr:nvSpPr>
            <xdr:cNvPr id="7204" name="HideFault1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Fault16</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9525</xdr:rowOff>
        </xdr:from>
        <xdr:to>
          <xdr:col>2</xdr:col>
          <xdr:colOff>0</xdr:colOff>
          <xdr:row>66</xdr:row>
          <xdr:rowOff>0</xdr:rowOff>
        </xdr:to>
        <xdr:sp macro="" textlink="">
          <xdr:nvSpPr>
            <xdr:cNvPr id="7205" name="HideFault1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69</xdr:row>
          <xdr:rowOff>9525</xdr:rowOff>
        </xdr:from>
        <xdr:to>
          <xdr:col>2</xdr:col>
          <xdr:colOff>0</xdr:colOff>
          <xdr:row>70</xdr:row>
          <xdr:rowOff>0</xdr:rowOff>
        </xdr:to>
        <xdr:sp macro="" textlink="">
          <xdr:nvSpPr>
            <xdr:cNvPr id="7206" name="HideFault18"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Fault18</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9525</xdr:rowOff>
        </xdr:from>
        <xdr:to>
          <xdr:col>2</xdr:col>
          <xdr:colOff>0</xdr:colOff>
          <xdr:row>74</xdr:row>
          <xdr:rowOff>0</xdr:rowOff>
        </xdr:to>
        <xdr:sp macro="" textlink="">
          <xdr:nvSpPr>
            <xdr:cNvPr id="7207" name="HideFault19"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Fault19</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77</xdr:row>
          <xdr:rowOff>9525</xdr:rowOff>
        </xdr:from>
        <xdr:to>
          <xdr:col>2</xdr:col>
          <xdr:colOff>0</xdr:colOff>
          <xdr:row>78</xdr:row>
          <xdr:rowOff>0</xdr:rowOff>
        </xdr:to>
        <xdr:sp macro="" textlink="">
          <xdr:nvSpPr>
            <xdr:cNvPr id="7208" name="HideFault20"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Fault20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1</xdr:row>
          <xdr:rowOff>38100</xdr:rowOff>
        </xdr:from>
        <xdr:to>
          <xdr:col>6</xdr:col>
          <xdr:colOff>590550</xdr:colOff>
          <xdr:row>2</xdr:row>
          <xdr:rowOff>9525</xdr:rowOff>
        </xdr:to>
        <xdr:sp macro="" textlink="">
          <xdr:nvSpPr>
            <xdr:cNvPr id="7211" name="Fault1"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7</xdr:col>
          <xdr:colOff>0</xdr:colOff>
          <xdr:row>7</xdr:row>
          <xdr:rowOff>0</xdr:rowOff>
        </xdr:to>
        <xdr:sp macro="" textlink="">
          <xdr:nvSpPr>
            <xdr:cNvPr id="7212" name="Fault2"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7</xdr:col>
          <xdr:colOff>0</xdr:colOff>
          <xdr:row>11</xdr:row>
          <xdr:rowOff>0</xdr:rowOff>
        </xdr:to>
        <xdr:sp macro="" textlink="">
          <xdr:nvSpPr>
            <xdr:cNvPr id="7213" name="Drop Down 45" hidden="1">
              <a:extLst>
                <a:ext uri="{63B3BB69-23CF-44E3-9099-C40C66FF867C}">
                  <a14:compatExt spid="_x0000_s7213"/>
                </a:ext>
                <a:ext uri="{FF2B5EF4-FFF2-40B4-BE49-F238E27FC236}">
                  <a16:creationId xmlns:a16="http://schemas.microsoft.com/office/drawing/2014/main" id="{00000000-0008-0000-0100-00002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0</xdr:rowOff>
        </xdr:to>
        <xdr:sp macro="" textlink="">
          <xdr:nvSpPr>
            <xdr:cNvPr id="7214" name="Fault4" hidden="1">
              <a:extLst>
                <a:ext uri="{63B3BB69-23CF-44E3-9099-C40C66FF867C}">
                  <a14:compatExt spid="_x0000_s7214"/>
                </a:ext>
                <a:ext uri="{FF2B5EF4-FFF2-40B4-BE49-F238E27FC236}">
                  <a16:creationId xmlns:a16="http://schemas.microsoft.com/office/drawing/2014/main" id="{00000000-0008-0000-0100-00002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7</xdr:col>
          <xdr:colOff>0</xdr:colOff>
          <xdr:row>19</xdr:row>
          <xdr:rowOff>0</xdr:rowOff>
        </xdr:to>
        <xdr:sp macro="" textlink="">
          <xdr:nvSpPr>
            <xdr:cNvPr id="7215" name="Fault5"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7</xdr:col>
          <xdr:colOff>0</xdr:colOff>
          <xdr:row>23</xdr:row>
          <xdr:rowOff>0</xdr:rowOff>
        </xdr:to>
        <xdr:sp macro="" textlink="">
          <xdr:nvSpPr>
            <xdr:cNvPr id="7216" name="Fault6"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27</xdr:row>
          <xdr:rowOff>0</xdr:rowOff>
        </xdr:to>
        <xdr:sp macro="" textlink="">
          <xdr:nvSpPr>
            <xdr:cNvPr id="7217" name="Fault7" hidden="1">
              <a:extLst>
                <a:ext uri="{63B3BB69-23CF-44E3-9099-C40C66FF867C}">
                  <a14:compatExt spid="_x0000_s7217"/>
                </a:ext>
                <a:ext uri="{FF2B5EF4-FFF2-40B4-BE49-F238E27FC236}">
                  <a16:creationId xmlns:a16="http://schemas.microsoft.com/office/drawing/2014/main" id="{00000000-0008-0000-0100-00003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31</xdr:row>
          <xdr:rowOff>0</xdr:rowOff>
        </xdr:to>
        <xdr:sp macro="" textlink="">
          <xdr:nvSpPr>
            <xdr:cNvPr id="7218" name="Fault8" hidden="1">
              <a:extLst>
                <a:ext uri="{63B3BB69-23CF-44E3-9099-C40C66FF867C}">
                  <a14:compatExt spid="_x0000_s7218"/>
                </a:ext>
                <a:ext uri="{FF2B5EF4-FFF2-40B4-BE49-F238E27FC236}">
                  <a16:creationId xmlns:a16="http://schemas.microsoft.com/office/drawing/2014/main" id="{00000000-0008-0000-0100-00003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35</xdr:row>
          <xdr:rowOff>0</xdr:rowOff>
        </xdr:to>
        <xdr:sp macro="" textlink="">
          <xdr:nvSpPr>
            <xdr:cNvPr id="7219" name="Fault9" hidden="1">
              <a:extLst>
                <a:ext uri="{63B3BB69-23CF-44E3-9099-C40C66FF867C}">
                  <a14:compatExt spid="_x0000_s7219"/>
                </a:ext>
                <a:ext uri="{FF2B5EF4-FFF2-40B4-BE49-F238E27FC236}">
                  <a16:creationId xmlns:a16="http://schemas.microsoft.com/office/drawing/2014/main" id="{00000000-0008-0000-0100-00003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0</xdr:colOff>
          <xdr:row>39</xdr:row>
          <xdr:rowOff>0</xdr:rowOff>
        </xdr:to>
        <xdr:sp macro="" textlink="">
          <xdr:nvSpPr>
            <xdr:cNvPr id="7220" name="Fault10" hidden="1">
              <a:extLst>
                <a:ext uri="{63B3BB69-23CF-44E3-9099-C40C66FF867C}">
                  <a14:compatExt spid="_x0000_s7220"/>
                </a:ext>
                <a:ext uri="{FF2B5EF4-FFF2-40B4-BE49-F238E27FC236}">
                  <a16:creationId xmlns:a16="http://schemas.microsoft.com/office/drawing/2014/main" id="{00000000-0008-0000-0100-00003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7</xdr:col>
          <xdr:colOff>0</xdr:colOff>
          <xdr:row>43</xdr:row>
          <xdr:rowOff>0</xdr:rowOff>
        </xdr:to>
        <xdr:sp macro="" textlink="">
          <xdr:nvSpPr>
            <xdr:cNvPr id="7221" name="Fault11"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7</xdr:col>
          <xdr:colOff>0</xdr:colOff>
          <xdr:row>47</xdr:row>
          <xdr:rowOff>0</xdr:rowOff>
        </xdr:to>
        <xdr:sp macro="" textlink="">
          <xdr:nvSpPr>
            <xdr:cNvPr id="7222" name="Fault12"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7</xdr:col>
          <xdr:colOff>0</xdr:colOff>
          <xdr:row>51</xdr:row>
          <xdr:rowOff>0</xdr:rowOff>
        </xdr:to>
        <xdr:sp macro="" textlink="">
          <xdr:nvSpPr>
            <xdr:cNvPr id="7223" name="Fault13"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7</xdr:col>
          <xdr:colOff>0</xdr:colOff>
          <xdr:row>55</xdr:row>
          <xdr:rowOff>0</xdr:rowOff>
        </xdr:to>
        <xdr:sp macro="" textlink="">
          <xdr:nvSpPr>
            <xdr:cNvPr id="7224" name="Fault14"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7</xdr:col>
          <xdr:colOff>0</xdr:colOff>
          <xdr:row>59</xdr:row>
          <xdr:rowOff>0</xdr:rowOff>
        </xdr:to>
        <xdr:sp macro="" textlink="">
          <xdr:nvSpPr>
            <xdr:cNvPr id="7225" name="Fault15"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62</xdr:row>
          <xdr:rowOff>0</xdr:rowOff>
        </xdr:from>
        <xdr:to>
          <xdr:col>7</xdr:col>
          <xdr:colOff>0</xdr:colOff>
          <xdr:row>63</xdr:row>
          <xdr:rowOff>0</xdr:rowOff>
        </xdr:to>
        <xdr:sp macro="" textlink="">
          <xdr:nvSpPr>
            <xdr:cNvPr id="7226" name="Fault16"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0</xdr:rowOff>
        </xdr:from>
        <xdr:to>
          <xdr:col>7</xdr:col>
          <xdr:colOff>0</xdr:colOff>
          <xdr:row>67</xdr:row>
          <xdr:rowOff>0</xdr:rowOff>
        </xdr:to>
        <xdr:sp macro="" textlink="">
          <xdr:nvSpPr>
            <xdr:cNvPr id="7227" name="Fault17"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70</xdr:row>
          <xdr:rowOff>0</xdr:rowOff>
        </xdr:from>
        <xdr:to>
          <xdr:col>7</xdr:col>
          <xdr:colOff>0</xdr:colOff>
          <xdr:row>71</xdr:row>
          <xdr:rowOff>0</xdr:rowOff>
        </xdr:to>
        <xdr:sp macro="" textlink="">
          <xdr:nvSpPr>
            <xdr:cNvPr id="7228" name="Fault18"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7</xdr:col>
          <xdr:colOff>0</xdr:colOff>
          <xdr:row>75</xdr:row>
          <xdr:rowOff>0</xdr:rowOff>
        </xdr:to>
        <xdr:sp macro="" textlink="">
          <xdr:nvSpPr>
            <xdr:cNvPr id="7229" name="Fault19" hidden="1">
              <a:extLst>
                <a:ext uri="{63B3BB69-23CF-44E3-9099-C40C66FF867C}">
                  <a14:compatExt spid="_x0000_s7229"/>
                </a:ext>
                <a:ext uri="{FF2B5EF4-FFF2-40B4-BE49-F238E27FC236}">
                  <a16:creationId xmlns:a16="http://schemas.microsoft.com/office/drawing/2014/main" id="{00000000-0008-0000-0100-00003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0</xdr:rowOff>
        </xdr:from>
        <xdr:to>
          <xdr:col>7</xdr:col>
          <xdr:colOff>0</xdr:colOff>
          <xdr:row>79</xdr:row>
          <xdr:rowOff>0</xdr:rowOff>
        </xdr:to>
        <xdr:sp macro="" textlink="">
          <xdr:nvSpPr>
            <xdr:cNvPr id="7230" name="Fault20" hidden="1">
              <a:extLst>
                <a:ext uri="{63B3BB69-23CF-44E3-9099-C40C66FF867C}">
                  <a14:compatExt spid="_x0000_s7230"/>
                </a:ext>
                <a:ext uri="{FF2B5EF4-FFF2-40B4-BE49-F238E27FC236}">
                  <a16:creationId xmlns:a16="http://schemas.microsoft.com/office/drawing/2014/main" id="{00000000-0008-0000-0100-00003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9525</xdr:rowOff>
        </xdr:from>
        <xdr:to>
          <xdr:col>7</xdr:col>
          <xdr:colOff>19050</xdr:colOff>
          <xdr:row>5</xdr:row>
          <xdr:rowOff>9525</xdr:rowOff>
        </xdr:to>
        <xdr:sp macro="" textlink="">
          <xdr:nvSpPr>
            <xdr:cNvPr id="7235" name="Fault1"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7</xdr:col>
          <xdr:colOff>0</xdr:colOff>
          <xdr:row>8</xdr:row>
          <xdr:rowOff>0</xdr:rowOff>
        </xdr:to>
        <xdr:sp macro="" textlink="">
          <xdr:nvSpPr>
            <xdr:cNvPr id="7236" name="Fault1" hidden="1">
              <a:extLst>
                <a:ext uri="{63B3BB69-23CF-44E3-9099-C40C66FF867C}">
                  <a14:compatExt spid="_x0000_s7236"/>
                </a:ext>
                <a:ext uri="{FF2B5EF4-FFF2-40B4-BE49-F238E27FC236}">
                  <a16:creationId xmlns:a16="http://schemas.microsoft.com/office/drawing/2014/main" id="{00000000-0008-0000-0100-00004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7</xdr:col>
          <xdr:colOff>0</xdr:colOff>
          <xdr:row>12</xdr:row>
          <xdr:rowOff>0</xdr:rowOff>
        </xdr:to>
        <xdr:sp macro="" textlink="">
          <xdr:nvSpPr>
            <xdr:cNvPr id="7237" name="Fault1"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7</xdr:col>
          <xdr:colOff>0</xdr:colOff>
          <xdr:row>16</xdr:row>
          <xdr:rowOff>0</xdr:rowOff>
        </xdr:to>
        <xdr:sp macro="" textlink="">
          <xdr:nvSpPr>
            <xdr:cNvPr id="7238" name="Fault1"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7240" name="Fault1"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24</xdr:row>
          <xdr:rowOff>0</xdr:rowOff>
        </xdr:to>
        <xdr:sp macro="" textlink="">
          <xdr:nvSpPr>
            <xdr:cNvPr id="7241" name="Fault1"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0</xdr:rowOff>
        </xdr:to>
        <xdr:sp macro="" textlink="">
          <xdr:nvSpPr>
            <xdr:cNvPr id="7242" name="Fault1"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32</xdr:row>
          <xdr:rowOff>0</xdr:rowOff>
        </xdr:to>
        <xdr:sp macro="" textlink="">
          <xdr:nvSpPr>
            <xdr:cNvPr id="7243" name="Fault1"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0</xdr:colOff>
          <xdr:row>36</xdr:row>
          <xdr:rowOff>0</xdr:rowOff>
        </xdr:to>
        <xdr:sp macro="" textlink="">
          <xdr:nvSpPr>
            <xdr:cNvPr id="7244" name="Fault1"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7</xdr:col>
          <xdr:colOff>0</xdr:colOff>
          <xdr:row>40</xdr:row>
          <xdr:rowOff>0</xdr:rowOff>
        </xdr:to>
        <xdr:sp macro="" textlink="">
          <xdr:nvSpPr>
            <xdr:cNvPr id="7245" name="Fault1" hidden="1">
              <a:extLst>
                <a:ext uri="{63B3BB69-23CF-44E3-9099-C40C66FF867C}">
                  <a14:compatExt spid="_x0000_s7245"/>
                </a:ext>
                <a:ext uri="{FF2B5EF4-FFF2-40B4-BE49-F238E27FC236}">
                  <a16:creationId xmlns:a16="http://schemas.microsoft.com/office/drawing/2014/main" id="{00000000-0008-0000-0100-00004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7</xdr:col>
          <xdr:colOff>0</xdr:colOff>
          <xdr:row>44</xdr:row>
          <xdr:rowOff>0</xdr:rowOff>
        </xdr:to>
        <xdr:sp macro="" textlink="">
          <xdr:nvSpPr>
            <xdr:cNvPr id="7246" name="Fault1" hidden="1">
              <a:extLst>
                <a:ext uri="{63B3BB69-23CF-44E3-9099-C40C66FF867C}">
                  <a14:compatExt spid="_x0000_s7246"/>
                </a:ext>
                <a:ext uri="{FF2B5EF4-FFF2-40B4-BE49-F238E27FC236}">
                  <a16:creationId xmlns:a16="http://schemas.microsoft.com/office/drawing/2014/main" id="{00000000-0008-0000-0100-00004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7</xdr:col>
          <xdr:colOff>0</xdr:colOff>
          <xdr:row>48</xdr:row>
          <xdr:rowOff>0</xdr:rowOff>
        </xdr:to>
        <xdr:sp macro="" textlink="">
          <xdr:nvSpPr>
            <xdr:cNvPr id="7247" name="Fault1" hidden="1">
              <a:extLst>
                <a:ext uri="{63B3BB69-23CF-44E3-9099-C40C66FF867C}">
                  <a14:compatExt spid="_x0000_s7247"/>
                </a:ext>
                <a:ext uri="{FF2B5EF4-FFF2-40B4-BE49-F238E27FC236}">
                  <a16:creationId xmlns:a16="http://schemas.microsoft.com/office/drawing/2014/main" id="{00000000-0008-0000-0100-00004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7</xdr:col>
          <xdr:colOff>0</xdr:colOff>
          <xdr:row>52</xdr:row>
          <xdr:rowOff>0</xdr:rowOff>
        </xdr:to>
        <xdr:sp macro="" textlink="">
          <xdr:nvSpPr>
            <xdr:cNvPr id="7248" name="Fault1" hidden="1">
              <a:extLst>
                <a:ext uri="{63B3BB69-23CF-44E3-9099-C40C66FF867C}">
                  <a14:compatExt spid="_x0000_s7248"/>
                </a:ext>
                <a:ext uri="{FF2B5EF4-FFF2-40B4-BE49-F238E27FC236}">
                  <a16:creationId xmlns:a16="http://schemas.microsoft.com/office/drawing/2014/main" id="{00000000-0008-0000-0100-00005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7</xdr:col>
          <xdr:colOff>0</xdr:colOff>
          <xdr:row>56</xdr:row>
          <xdr:rowOff>0</xdr:rowOff>
        </xdr:to>
        <xdr:sp macro="" textlink="">
          <xdr:nvSpPr>
            <xdr:cNvPr id="7249" name="Fault1" hidden="1">
              <a:extLst>
                <a:ext uri="{63B3BB69-23CF-44E3-9099-C40C66FF867C}">
                  <a14:compatExt spid="_x0000_s7249"/>
                </a:ext>
                <a:ext uri="{FF2B5EF4-FFF2-40B4-BE49-F238E27FC236}">
                  <a16:creationId xmlns:a16="http://schemas.microsoft.com/office/drawing/2014/main" id="{00000000-0008-0000-0100-00005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0</xdr:rowOff>
        </xdr:from>
        <xdr:to>
          <xdr:col>7</xdr:col>
          <xdr:colOff>0</xdr:colOff>
          <xdr:row>60</xdr:row>
          <xdr:rowOff>0</xdr:rowOff>
        </xdr:to>
        <xdr:sp macro="" textlink="">
          <xdr:nvSpPr>
            <xdr:cNvPr id="7250" name="Fault1" hidden="1">
              <a:extLst>
                <a:ext uri="{63B3BB69-23CF-44E3-9099-C40C66FF867C}">
                  <a14:compatExt spid="_x0000_s7250"/>
                </a:ext>
                <a:ext uri="{FF2B5EF4-FFF2-40B4-BE49-F238E27FC236}">
                  <a16:creationId xmlns:a16="http://schemas.microsoft.com/office/drawing/2014/main" id="{00000000-0008-0000-0100-00005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63</xdr:row>
          <xdr:rowOff>0</xdr:rowOff>
        </xdr:from>
        <xdr:to>
          <xdr:col>7</xdr:col>
          <xdr:colOff>0</xdr:colOff>
          <xdr:row>64</xdr:row>
          <xdr:rowOff>0</xdr:rowOff>
        </xdr:to>
        <xdr:sp macro="" textlink="">
          <xdr:nvSpPr>
            <xdr:cNvPr id="7251" name="Fault1" hidden="1">
              <a:extLst>
                <a:ext uri="{63B3BB69-23CF-44E3-9099-C40C66FF867C}">
                  <a14:compatExt spid="_x0000_s7251"/>
                </a:ext>
                <a:ext uri="{FF2B5EF4-FFF2-40B4-BE49-F238E27FC236}">
                  <a16:creationId xmlns:a16="http://schemas.microsoft.com/office/drawing/2014/main" id="{00000000-0008-0000-0100-00005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67</xdr:row>
          <xdr:rowOff>0</xdr:rowOff>
        </xdr:from>
        <xdr:to>
          <xdr:col>7</xdr:col>
          <xdr:colOff>0</xdr:colOff>
          <xdr:row>68</xdr:row>
          <xdr:rowOff>0</xdr:rowOff>
        </xdr:to>
        <xdr:sp macro="" textlink="">
          <xdr:nvSpPr>
            <xdr:cNvPr id="7252" name="Fault1" hidden="1">
              <a:extLst>
                <a:ext uri="{63B3BB69-23CF-44E3-9099-C40C66FF867C}">
                  <a14:compatExt spid="_x0000_s7252"/>
                </a:ext>
                <a:ext uri="{FF2B5EF4-FFF2-40B4-BE49-F238E27FC236}">
                  <a16:creationId xmlns:a16="http://schemas.microsoft.com/office/drawing/2014/main" id="{00000000-0008-0000-0100-00005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71</xdr:row>
          <xdr:rowOff>0</xdr:rowOff>
        </xdr:from>
        <xdr:to>
          <xdr:col>7</xdr:col>
          <xdr:colOff>0</xdr:colOff>
          <xdr:row>72</xdr:row>
          <xdr:rowOff>0</xdr:rowOff>
        </xdr:to>
        <xdr:sp macro="" textlink="">
          <xdr:nvSpPr>
            <xdr:cNvPr id="7253" name="Fault1" hidden="1">
              <a:extLst>
                <a:ext uri="{63B3BB69-23CF-44E3-9099-C40C66FF867C}">
                  <a14:compatExt spid="_x0000_s7253"/>
                </a:ext>
                <a:ext uri="{FF2B5EF4-FFF2-40B4-BE49-F238E27FC236}">
                  <a16:creationId xmlns:a16="http://schemas.microsoft.com/office/drawing/2014/main" id="{00000000-0008-0000-0100-00005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0</xdr:rowOff>
        </xdr:from>
        <xdr:to>
          <xdr:col>7</xdr:col>
          <xdr:colOff>0</xdr:colOff>
          <xdr:row>76</xdr:row>
          <xdr:rowOff>0</xdr:rowOff>
        </xdr:to>
        <xdr:sp macro="" textlink="">
          <xdr:nvSpPr>
            <xdr:cNvPr id="7254" name="Fault1" hidden="1">
              <a:extLst>
                <a:ext uri="{63B3BB69-23CF-44E3-9099-C40C66FF867C}">
                  <a14:compatExt spid="_x0000_s7254"/>
                </a:ext>
                <a:ext uri="{FF2B5EF4-FFF2-40B4-BE49-F238E27FC236}">
                  <a16:creationId xmlns:a16="http://schemas.microsoft.com/office/drawing/2014/main" id="{00000000-0008-0000-0100-00005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7</xdr:col>
          <xdr:colOff>0</xdr:colOff>
          <xdr:row>80</xdr:row>
          <xdr:rowOff>0</xdr:rowOff>
        </xdr:to>
        <xdr:sp macro="" textlink="">
          <xdr:nvSpPr>
            <xdr:cNvPr id="7255" name="Fault1"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856304" cy="14378609"/>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0.201</cdr:x>
      <cdr:y>0.976</cdr:y>
    </cdr:from>
    <cdr:to>
      <cdr:x>0.28775</cdr:x>
      <cdr:y>0.9935</cdr:y>
    </cdr:to>
    <cdr:sp macro="" textlink="">
      <cdr:nvSpPr>
        <cdr:cNvPr id="8568" name="Text Box 376"/>
        <cdr:cNvSpPr txBox="1">
          <a:spLocks xmlns:a="http://schemas.openxmlformats.org/drawingml/2006/main" noChangeArrowheads="1"/>
        </cdr:cNvSpPr>
      </cdr:nvSpPr>
      <cdr:spPr bwMode="auto">
        <a:xfrm xmlns:a="http://schemas.openxmlformats.org/drawingml/2006/main">
          <a:off x="1914525" y="14037564"/>
          <a:ext cx="826294" cy="25169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AU" sz="1200" b="1" i="0" u="none" strike="noStrike" baseline="0">
              <a:solidFill>
                <a:srgbClr val="000000"/>
              </a:solidFill>
              <a:latin typeface="Arial"/>
              <a:cs typeface="Arial"/>
            </a:rPr>
            <a:t>@       kV</a:t>
          </a:r>
        </a:p>
        <a:p xmlns:a="http://schemas.openxmlformats.org/drawingml/2006/main">
          <a:pPr algn="l" rtl="0">
            <a:defRPr sz="1000"/>
          </a:pPr>
          <a:endParaRPr lang="en-AU" sz="1200" b="1" i="0" u="none" strike="noStrike" baseline="0">
            <a:solidFill>
              <a:srgbClr val="000000"/>
            </a:solidFill>
            <a:latin typeface="Arial"/>
            <a:cs typeface="Arial"/>
          </a:endParaRPr>
        </a:p>
      </cdr:txBody>
    </cdr:sp>
  </cdr:relSizeAnchor>
  <cdr:relSizeAnchor xmlns:cdr="http://schemas.openxmlformats.org/drawingml/2006/chartDrawing">
    <cdr:from>
      <cdr:x>0.16102</cdr:x>
      <cdr:y>0.00946</cdr:y>
    </cdr:from>
    <cdr:to>
      <cdr:x>0.33943</cdr:x>
      <cdr:y>0.03571</cdr:y>
    </cdr:to>
    <cdr:sp macro="" textlink="'Relay 1'!$B$1:$I$1">
      <cdr:nvSpPr>
        <cdr:cNvPr id="8200" name="Text Box 8"/>
        <cdr:cNvSpPr txBox="1">
          <a:spLocks xmlns:a="http://schemas.openxmlformats.org/drawingml/2006/main" noChangeArrowheads="1" noTextEdit="1"/>
        </cdr:cNvSpPr>
      </cdr:nvSpPr>
      <cdr:spPr bwMode="auto">
        <a:xfrm xmlns:a="http://schemas.openxmlformats.org/drawingml/2006/main">
          <a:off x="1592035" y="136072"/>
          <a:ext cx="1763931" cy="377547"/>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45720" tIns="41148" rIns="0" bIns="0" anchor="t" upright="1"/>
        <a:lstStyle xmlns:a="http://schemas.openxmlformats.org/drawingml/2006/main"/>
        <a:p xmlns:a="http://schemas.openxmlformats.org/drawingml/2006/main">
          <a:pPr algn="l" rtl="0">
            <a:defRPr sz="1000"/>
          </a:pPr>
          <a:fld id="{BE34A46A-8E08-4516-9963-48EB6C137A75}" type="TxLink">
            <a:rPr lang="en-AU" sz="1600" b="1" i="0" u="none" strike="noStrike" baseline="0">
              <a:solidFill>
                <a:srgbClr val="000000"/>
              </a:solidFill>
              <a:latin typeface="Arial"/>
              <a:cs typeface="Arial"/>
            </a:rPr>
            <a:pPr algn="l" rtl="0">
              <a:defRPr sz="1000"/>
            </a:pPr>
            <a:t> </a:t>
          </a:fld>
          <a:endParaRPr lang="en-AU" sz="1600" b="1" i="0" u="none" strike="noStrike" baseline="0">
            <a:solidFill>
              <a:srgbClr val="000000"/>
            </a:solidFill>
            <a:latin typeface="Arial"/>
            <a:cs typeface="Arial"/>
          </a:endParaRPr>
        </a:p>
      </cdr:txBody>
    </cdr:sp>
  </cdr:relSizeAnchor>
  <cdr:relSizeAnchor xmlns:cdr="http://schemas.openxmlformats.org/drawingml/2006/chartDrawing">
    <cdr:from>
      <cdr:x>0.2245</cdr:x>
      <cdr:y>0.976</cdr:y>
    </cdr:from>
    <cdr:to>
      <cdr:x>0.25475</cdr:x>
      <cdr:y>0.9935</cdr:y>
    </cdr:to>
    <cdr:sp macro="" textlink="'Relay 1'!$L$1">
      <cdr:nvSpPr>
        <cdr:cNvPr id="8567" name="Ref Voltage"/>
        <cdr:cNvSpPr txBox="1">
          <a:spLocks xmlns:a="http://schemas.openxmlformats.org/drawingml/2006/main" noChangeArrowheads="1" noTextEdit="1"/>
        </cdr:cNvSpPr>
      </cdr:nvSpPr>
      <cdr:spPr bwMode="auto">
        <a:xfrm xmlns:a="http://schemas.openxmlformats.org/drawingml/2006/main">
          <a:off x="2138363" y="14037564"/>
          <a:ext cx="288131" cy="25169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fld id="{7823B2C9-BBB8-4EEC-A621-18900F891B6F}" type="TxLink">
            <a:rPr lang="en-AU" sz="1200" b="1" i="0" u="none" strike="noStrike" baseline="0">
              <a:solidFill>
                <a:srgbClr val="000000"/>
              </a:solidFill>
              <a:latin typeface="Arial"/>
              <a:cs typeface="Arial"/>
            </a:rPr>
            <a:pPr algn="l" rtl="0">
              <a:defRPr sz="1000"/>
            </a:pPr>
            <a:t>11</a:t>
          </a:fld>
          <a:endParaRPr lang="en-AU" sz="1200" b="1" i="0" u="none" strike="noStrike" baseline="0">
            <a:solidFill>
              <a:srgbClr val="000000"/>
            </a:solidFill>
            <a:latin typeface="Arial"/>
            <a:cs typeface="Arial"/>
          </a:endParaRPr>
        </a:p>
      </cdr:txBody>
    </cdr:sp>
  </cdr:relSizeAnchor>
  <cdr:relSizeAnchor xmlns:cdr="http://schemas.openxmlformats.org/drawingml/2006/chartDrawing">
    <cdr:from>
      <cdr:x>0.01423</cdr:x>
      <cdr:y>0.0072</cdr:y>
    </cdr:from>
    <cdr:to>
      <cdr:x>0.11758</cdr:x>
      <cdr:y>0.03897</cdr:y>
    </cdr:to>
    <cdr:pic>
      <cdr:nvPicPr>
        <cdr:cNvPr id="38" name="Picture 37">
          <a:extLst xmlns:a="http://schemas.openxmlformats.org/drawingml/2006/main">
            <a:ext uri="{FF2B5EF4-FFF2-40B4-BE49-F238E27FC236}">
              <a16:creationId xmlns:a16="http://schemas.microsoft.com/office/drawing/2014/main" id="{12616CF9-9CD1-7D9C-B7A5-E10358C85FAD}"/>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140691" y="103514"/>
          <a:ext cx="1021817" cy="456940"/>
        </a:xfrm>
        <a:prstGeom xmlns:a="http://schemas.openxmlformats.org/drawingml/2006/main" prst="rect">
          <a:avLst/>
        </a:prstGeom>
        <a:noFill xmlns:a="http://schemas.openxmlformats.org/drawingml/2006/main"/>
      </cdr:spPr>
    </cdr:pic>
  </cdr:relSizeAnchor>
  <cdr:relSizeAnchor xmlns:cdr="http://schemas.openxmlformats.org/drawingml/2006/chartDrawing">
    <cdr:from>
      <cdr:x>0.88404</cdr:x>
      <cdr:y>0.69989</cdr:y>
    </cdr:from>
    <cdr:to>
      <cdr:x>0.8851</cdr:x>
      <cdr:y>0.74325</cdr:y>
    </cdr:to>
    <cdr:cxnSp macro="">
      <cdr:nvCxnSpPr>
        <cdr:cNvPr id="3" name="Straight Arrow Connector 2">
          <a:extLst xmlns:a="http://schemas.openxmlformats.org/drawingml/2006/main">
            <a:ext uri="{FF2B5EF4-FFF2-40B4-BE49-F238E27FC236}">
              <a16:creationId xmlns:a16="http://schemas.microsoft.com/office/drawing/2014/main" id="{17A1CBB3-2873-2B30-4498-7A4EC4D2EF73}"/>
            </a:ext>
          </a:extLst>
        </cdr:cNvPr>
        <cdr:cNvCxnSpPr/>
      </cdr:nvCxnSpPr>
      <cdr:spPr>
        <a:xfrm xmlns:a="http://schemas.openxmlformats.org/drawingml/2006/main">
          <a:off x="8713322" y="10063439"/>
          <a:ext cx="10448" cy="623456"/>
        </a:xfrm>
        <a:prstGeom xmlns:a="http://schemas.openxmlformats.org/drawingml/2006/main" prst="straightConnector1">
          <a:avLst/>
        </a:prstGeom>
        <a:ln xmlns:a="http://schemas.openxmlformats.org/drawingml/2006/main" w="12700">
          <a:headEnd type="arrow"/>
          <a:tailEnd type="arrow"/>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0.67215</cdr:x>
      <cdr:y>0.80897</cdr:y>
    </cdr:from>
    <cdr:to>
      <cdr:x>0.74626</cdr:x>
      <cdr:y>0.8268</cdr:y>
    </cdr:to>
    <cdr:sp macro="" textlink="">
      <cdr:nvSpPr>
        <cdr:cNvPr id="6" name="TextBox 5"/>
        <cdr:cNvSpPr txBox="1"/>
      </cdr:nvSpPr>
      <cdr:spPr>
        <a:xfrm xmlns:a="http://schemas.openxmlformats.org/drawingml/2006/main">
          <a:off x="6645520" y="11635154"/>
          <a:ext cx="732692" cy="2564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AU" sz="1100"/>
            <a:t>400ms</a:t>
          </a:r>
        </a:p>
      </cdr:txBody>
    </cdr:sp>
  </cdr:relSizeAnchor>
  <cdr:relSizeAnchor xmlns:cdr="http://schemas.openxmlformats.org/drawingml/2006/chartDrawing">
    <cdr:from>
      <cdr:x>0.24958</cdr:x>
      <cdr:y>0.09825</cdr:y>
    </cdr:from>
    <cdr:to>
      <cdr:x>0.68311</cdr:x>
      <cdr:y>0.27328</cdr:y>
    </cdr:to>
    <cdr:sp macro="" textlink="">
      <cdr:nvSpPr>
        <cdr:cNvPr id="7" name="TextBox 6"/>
        <cdr:cNvSpPr txBox="1"/>
      </cdr:nvSpPr>
      <cdr:spPr>
        <a:xfrm xmlns:a="http://schemas.openxmlformats.org/drawingml/2006/main">
          <a:off x="2459955" y="1414387"/>
          <a:ext cx="4273003" cy="25195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AU"/>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0</xdr:rowOff>
        </xdr:to>
        <xdr:sp macro="" textlink="">
          <xdr:nvSpPr>
            <xdr:cNvPr id="9217" name="Relay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11</xdr:row>
          <xdr:rowOff>0</xdr:rowOff>
        </xdr:to>
        <xdr:sp macro="" textlink="">
          <xdr:nvSpPr>
            <xdr:cNvPr id="9218" name="Curve1"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0</xdr:colOff>
          <xdr:row>5</xdr:row>
          <xdr:rowOff>0</xdr:rowOff>
        </xdr:to>
        <xdr:sp macro="" textlink="">
          <xdr:nvSpPr>
            <xdr:cNvPr id="9238" name="Downstream1"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6</xdr:col>
          <xdr:colOff>0</xdr:colOff>
          <xdr:row>6</xdr:row>
          <xdr:rowOff>0</xdr:rowOff>
        </xdr:to>
        <xdr:sp macro="" textlink="">
          <xdr:nvSpPr>
            <xdr:cNvPr id="9239" name="Relay1Fault1"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6</xdr:col>
          <xdr:colOff>0</xdr:colOff>
          <xdr:row>7</xdr:row>
          <xdr:rowOff>0</xdr:rowOff>
        </xdr:to>
        <xdr:sp macro="" textlink="">
          <xdr:nvSpPr>
            <xdr:cNvPr id="9240" name="Relay1Fault2"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9241" name="Relay1Fault3"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2</xdr:col>
          <xdr:colOff>0</xdr:colOff>
          <xdr:row>18</xdr:row>
          <xdr:rowOff>0</xdr:rowOff>
        </xdr:to>
        <xdr:sp macro="" textlink="">
          <xdr:nvSpPr>
            <xdr:cNvPr id="9242" name="Relay1"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0</xdr:colOff>
          <xdr:row>26</xdr:row>
          <xdr:rowOff>0</xdr:rowOff>
        </xdr:to>
        <xdr:sp macro="" textlink="">
          <xdr:nvSpPr>
            <xdr:cNvPr id="9243" name="Curve1"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0</xdr:colOff>
          <xdr:row>20</xdr:row>
          <xdr:rowOff>0</xdr:rowOff>
        </xdr:to>
        <xdr:sp macro="" textlink="">
          <xdr:nvSpPr>
            <xdr:cNvPr id="9245" name="Downstream1"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9246" name="Relay1Fault1"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9247" name="Relay1Fault2"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9248" name="Relay1Fault3"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9249" name="Relay1" hidden="1">
              <a:extLst>
                <a:ext uri="{63B3BB69-23CF-44E3-9099-C40C66FF867C}">
                  <a14:compatExt spid="_x0000_s9249"/>
                </a:ext>
                <a:ext uri="{FF2B5EF4-FFF2-40B4-BE49-F238E27FC236}">
                  <a16:creationId xmlns:a16="http://schemas.microsoft.com/office/drawing/2014/main" id="{00000000-0008-0000-03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41</xdr:row>
          <xdr:rowOff>0</xdr:rowOff>
        </xdr:to>
        <xdr:sp macro="" textlink="">
          <xdr:nvSpPr>
            <xdr:cNvPr id="9250" name="Curve1" hidden="1">
              <a:extLst>
                <a:ext uri="{63B3BB69-23CF-44E3-9099-C40C66FF867C}">
                  <a14:compatExt spid="_x0000_s9250"/>
                </a:ext>
                <a:ext uri="{FF2B5EF4-FFF2-40B4-BE49-F238E27FC236}">
                  <a16:creationId xmlns:a16="http://schemas.microsoft.com/office/drawing/2014/main" id="{00000000-0008-0000-0300-00002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0</xdr:colOff>
          <xdr:row>35</xdr:row>
          <xdr:rowOff>0</xdr:rowOff>
        </xdr:to>
        <xdr:sp macro="" textlink="">
          <xdr:nvSpPr>
            <xdr:cNvPr id="9252" name="Downstream1" hidden="1">
              <a:extLst>
                <a:ext uri="{63B3BB69-23CF-44E3-9099-C40C66FF867C}">
                  <a14:compatExt spid="_x0000_s9252"/>
                </a:ext>
                <a:ext uri="{FF2B5EF4-FFF2-40B4-BE49-F238E27FC236}">
                  <a16:creationId xmlns:a16="http://schemas.microsoft.com/office/drawing/2014/main" id="{00000000-0008-0000-0300-00002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9253" name="Relay1Fault1" hidden="1">
              <a:extLst>
                <a:ext uri="{63B3BB69-23CF-44E3-9099-C40C66FF867C}">
                  <a14:compatExt spid="_x0000_s9253"/>
                </a:ext>
                <a:ext uri="{FF2B5EF4-FFF2-40B4-BE49-F238E27FC236}">
                  <a16:creationId xmlns:a16="http://schemas.microsoft.com/office/drawing/2014/main" id="{00000000-0008-0000-03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9254" name="Relay1Fault2" hidden="1">
              <a:extLst>
                <a:ext uri="{63B3BB69-23CF-44E3-9099-C40C66FF867C}">
                  <a14:compatExt spid="_x0000_s9254"/>
                </a:ext>
                <a:ext uri="{FF2B5EF4-FFF2-40B4-BE49-F238E27FC236}">
                  <a16:creationId xmlns:a16="http://schemas.microsoft.com/office/drawing/2014/main" id="{00000000-0008-0000-0300-00002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9255" name="Relay1Fault3" hidden="1">
              <a:extLst>
                <a:ext uri="{63B3BB69-23CF-44E3-9099-C40C66FF867C}">
                  <a14:compatExt spid="_x0000_s9255"/>
                </a:ext>
                <a:ext uri="{FF2B5EF4-FFF2-40B4-BE49-F238E27FC236}">
                  <a16:creationId xmlns:a16="http://schemas.microsoft.com/office/drawing/2014/main" id="{00000000-0008-0000-0300-00002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0</xdr:rowOff>
        </xdr:from>
        <xdr:to>
          <xdr:col>2</xdr:col>
          <xdr:colOff>0</xdr:colOff>
          <xdr:row>48</xdr:row>
          <xdr:rowOff>0</xdr:rowOff>
        </xdr:to>
        <xdr:sp macro="" textlink="">
          <xdr:nvSpPr>
            <xdr:cNvPr id="9256" name="Relay1" hidden="1">
              <a:extLst>
                <a:ext uri="{63B3BB69-23CF-44E3-9099-C40C66FF867C}">
                  <a14:compatExt spid="_x0000_s9256"/>
                </a:ext>
                <a:ext uri="{FF2B5EF4-FFF2-40B4-BE49-F238E27FC236}">
                  <a16:creationId xmlns:a16="http://schemas.microsoft.com/office/drawing/2014/main" id="{00000000-0008-0000-03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56</xdr:row>
          <xdr:rowOff>0</xdr:rowOff>
        </xdr:to>
        <xdr:sp macro="" textlink="">
          <xdr:nvSpPr>
            <xdr:cNvPr id="9257" name="Curve1" hidden="1">
              <a:extLst>
                <a:ext uri="{63B3BB69-23CF-44E3-9099-C40C66FF867C}">
                  <a14:compatExt spid="_x0000_s9257"/>
                </a:ext>
                <a:ext uri="{FF2B5EF4-FFF2-40B4-BE49-F238E27FC236}">
                  <a16:creationId xmlns:a16="http://schemas.microsoft.com/office/drawing/2014/main" id="{00000000-0008-0000-03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49</xdr:row>
          <xdr:rowOff>0</xdr:rowOff>
        </xdr:from>
        <xdr:to>
          <xdr:col>9</xdr:col>
          <xdr:colOff>0</xdr:colOff>
          <xdr:row>50</xdr:row>
          <xdr:rowOff>0</xdr:rowOff>
        </xdr:to>
        <xdr:sp macro="" textlink="">
          <xdr:nvSpPr>
            <xdr:cNvPr id="9259" name="Downstream1" hidden="1">
              <a:extLst>
                <a:ext uri="{63B3BB69-23CF-44E3-9099-C40C66FF867C}">
                  <a14:compatExt spid="_x0000_s9259"/>
                </a:ext>
                <a:ext uri="{FF2B5EF4-FFF2-40B4-BE49-F238E27FC236}">
                  <a16:creationId xmlns:a16="http://schemas.microsoft.com/office/drawing/2014/main" id="{00000000-0008-0000-03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9260" name="Relay1Fault1"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9261" name="Relay1Fault2"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9262" name="Relay1Fault3"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62</xdr:row>
          <xdr:rowOff>0</xdr:rowOff>
        </xdr:from>
        <xdr:to>
          <xdr:col>2</xdr:col>
          <xdr:colOff>0</xdr:colOff>
          <xdr:row>63</xdr:row>
          <xdr:rowOff>0</xdr:rowOff>
        </xdr:to>
        <xdr:sp macro="" textlink="">
          <xdr:nvSpPr>
            <xdr:cNvPr id="9263" name="Relay1"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69</xdr:row>
          <xdr:rowOff>0</xdr:rowOff>
        </xdr:from>
        <xdr:to>
          <xdr:col>2</xdr:col>
          <xdr:colOff>0</xdr:colOff>
          <xdr:row>71</xdr:row>
          <xdr:rowOff>0</xdr:rowOff>
        </xdr:to>
        <xdr:sp macro="" textlink="">
          <xdr:nvSpPr>
            <xdr:cNvPr id="9264" name="Curve1"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9</xdr:col>
          <xdr:colOff>0</xdr:colOff>
          <xdr:row>65</xdr:row>
          <xdr:rowOff>0</xdr:rowOff>
        </xdr:to>
        <xdr:sp macro="" textlink="">
          <xdr:nvSpPr>
            <xdr:cNvPr id="9266" name="Downstream1"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65</xdr:row>
          <xdr:rowOff>0</xdr:rowOff>
        </xdr:from>
        <xdr:to>
          <xdr:col>6</xdr:col>
          <xdr:colOff>0</xdr:colOff>
          <xdr:row>66</xdr:row>
          <xdr:rowOff>0</xdr:rowOff>
        </xdr:to>
        <xdr:sp macro="" textlink="">
          <xdr:nvSpPr>
            <xdr:cNvPr id="9267" name="Relay1Fault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66</xdr:row>
          <xdr:rowOff>0</xdr:rowOff>
        </xdr:from>
        <xdr:to>
          <xdr:col>6</xdr:col>
          <xdr:colOff>0</xdr:colOff>
          <xdr:row>67</xdr:row>
          <xdr:rowOff>0</xdr:rowOff>
        </xdr:to>
        <xdr:sp macro="" textlink="">
          <xdr:nvSpPr>
            <xdr:cNvPr id="9268" name="Relay1Fault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0</xdr:rowOff>
        </xdr:from>
        <xdr:to>
          <xdr:col>6</xdr:col>
          <xdr:colOff>0</xdr:colOff>
          <xdr:row>68</xdr:row>
          <xdr:rowOff>0</xdr:rowOff>
        </xdr:to>
        <xdr:sp macro="" textlink="">
          <xdr:nvSpPr>
            <xdr:cNvPr id="9269" name="Relay1Fault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77</xdr:row>
          <xdr:rowOff>0</xdr:rowOff>
        </xdr:from>
        <xdr:to>
          <xdr:col>2</xdr:col>
          <xdr:colOff>0</xdr:colOff>
          <xdr:row>78</xdr:row>
          <xdr:rowOff>0</xdr:rowOff>
        </xdr:to>
        <xdr:sp macro="" textlink="">
          <xdr:nvSpPr>
            <xdr:cNvPr id="9270" name="Relay1"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84</xdr:row>
          <xdr:rowOff>0</xdr:rowOff>
        </xdr:from>
        <xdr:to>
          <xdr:col>2</xdr:col>
          <xdr:colOff>0</xdr:colOff>
          <xdr:row>86</xdr:row>
          <xdr:rowOff>0</xdr:rowOff>
        </xdr:to>
        <xdr:sp macro="" textlink="">
          <xdr:nvSpPr>
            <xdr:cNvPr id="9271" name="Curve1"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79</xdr:row>
          <xdr:rowOff>0</xdr:rowOff>
        </xdr:from>
        <xdr:to>
          <xdr:col>9</xdr:col>
          <xdr:colOff>0</xdr:colOff>
          <xdr:row>80</xdr:row>
          <xdr:rowOff>0</xdr:rowOff>
        </xdr:to>
        <xdr:sp macro="" textlink="">
          <xdr:nvSpPr>
            <xdr:cNvPr id="9273" name="Downstream1"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80</xdr:row>
          <xdr:rowOff>0</xdr:rowOff>
        </xdr:from>
        <xdr:to>
          <xdr:col>6</xdr:col>
          <xdr:colOff>0</xdr:colOff>
          <xdr:row>81</xdr:row>
          <xdr:rowOff>0</xdr:rowOff>
        </xdr:to>
        <xdr:sp macro="" textlink="">
          <xdr:nvSpPr>
            <xdr:cNvPr id="9274" name="Relay1Fault1"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81</xdr:row>
          <xdr:rowOff>0</xdr:rowOff>
        </xdr:from>
        <xdr:to>
          <xdr:col>6</xdr:col>
          <xdr:colOff>0</xdr:colOff>
          <xdr:row>82</xdr:row>
          <xdr:rowOff>0</xdr:rowOff>
        </xdr:to>
        <xdr:sp macro="" textlink="">
          <xdr:nvSpPr>
            <xdr:cNvPr id="9275" name="Relay1Fault2"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82</xdr:row>
          <xdr:rowOff>0</xdr:rowOff>
        </xdr:from>
        <xdr:to>
          <xdr:col>6</xdr:col>
          <xdr:colOff>0</xdr:colOff>
          <xdr:row>83</xdr:row>
          <xdr:rowOff>0</xdr:rowOff>
        </xdr:to>
        <xdr:sp macro="" textlink="">
          <xdr:nvSpPr>
            <xdr:cNvPr id="9276" name="Relay1Fault3"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92</xdr:row>
          <xdr:rowOff>0</xdr:rowOff>
        </xdr:from>
        <xdr:to>
          <xdr:col>2</xdr:col>
          <xdr:colOff>0</xdr:colOff>
          <xdr:row>93</xdr:row>
          <xdr:rowOff>0</xdr:rowOff>
        </xdr:to>
        <xdr:sp macro="" textlink="">
          <xdr:nvSpPr>
            <xdr:cNvPr id="9277" name="Relay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99</xdr:row>
          <xdr:rowOff>0</xdr:rowOff>
        </xdr:from>
        <xdr:to>
          <xdr:col>2</xdr:col>
          <xdr:colOff>0</xdr:colOff>
          <xdr:row>101</xdr:row>
          <xdr:rowOff>0</xdr:rowOff>
        </xdr:to>
        <xdr:sp macro="" textlink="">
          <xdr:nvSpPr>
            <xdr:cNvPr id="9278" name="Curve1"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9</xdr:col>
          <xdr:colOff>0</xdr:colOff>
          <xdr:row>95</xdr:row>
          <xdr:rowOff>0</xdr:rowOff>
        </xdr:to>
        <xdr:sp macro="" textlink="">
          <xdr:nvSpPr>
            <xdr:cNvPr id="9280" name="Downstream1"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95</xdr:row>
          <xdr:rowOff>0</xdr:rowOff>
        </xdr:from>
        <xdr:to>
          <xdr:col>6</xdr:col>
          <xdr:colOff>0</xdr:colOff>
          <xdr:row>96</xdr:row>
          <xdr:rowOff>0</xdr:rowOff>
        </xdr:to>
        <xdr:sp macro="" textlink="">
          <xdr:nvSpPr>
            <xdr:cNvPr id="9281" name="Relay1Fault1"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96</xdr:row>
          <xdr:rowOff>0</xdr:rowOff>
        </xdr:from>
        <xdr:to>
          <xdr:col>6</xdr:col>
          <xdr:colOff>0</xdr:colOff>
          <xdr:row>97</xdr:row>
          <xdr:rowOff>0</xdr:rowOff>
        </xdr:to>
        <xdr:sp macro="" textlink="">
          <xdr:nvSpPr>
            <xdr:cNvPr id="9282" name="Relay1Fault2"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xdr:row>
          <xdr:rowOff>0</xdr:rowOff>
        </xdr:from>
        <xdr:to>
          <xdr:col>6</xdr:col>
          <xdr:colOff>0</xdr:colOff>
          <xdr:row>98</xdr:row>
          <xdr:rowOff>0</xdr:rowOff>
        </xdr:to>
        <xdr:sp macro="" textlink="">
          <xdr:nvSpPr>
            <xdr:cNvPr id="9283" name="Relay1Fault3"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107</xdr:row>
          <xdr:rowOff>0</xdr:rowOff>
        </xdr:from>
        <xdr:to>
          <xdr:col>2</xdr:col>
          <xdr:colOff>0</xdr:colOff>
          <xdr:row>108</xdr:row>
          <xdr:rowOff>0</xdr:rowOff>
        </xdr:to>
        <xdr:sp macro="" textlink="">
          <xdr:nvSpPr>
            <xdr:cNvPr id="9284" name="Relay1"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114</xdr:row>
          <xdr:rowOff>0</xdr:rowOff>
        </xdr:from>
        <xdr:to>
          <xdr:col>2</xdr:col>
          <xdr:colOff>0</xdr:colOff>
          <xdr:row>116</xdr:row>
          <xdr:rowOff>0</xdr:rowOff>
        </xdr:to>
        <xdr:sp macro="" textlink="">
          <xdr:nvSpPr>
            <xdr:cNvPr id="9285" name="Curve1"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9</xdr:col>
          <xdr:colOff>0</xdr:colOff>
          <xdr:row>110</xdr:row>
          <xdr:rowOff>0</xdr:rowOff>
        </xdr:to>
        <xdr:sp macro="" textlink="">
          <xdr:nvSpPr>
            <xdr:cNvPr id="9287" name="Downstream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110</xdr:row>
          <xdr:rowOff>0</xdr:rowOff>
        </xdr:from>
        <xdr:to>
          <xdr:col>6</xdr:col>
          <xdr:colOff>0</xdr:colOff>
          <xdr:row>111</xdr:row>
          <xdr:rowOff>0</xdr:rowOff>
        </xdr:to>
        <xdr:sp macro="" textlink="">
          <xdr:nvSpPr>
            <xdr:cNvPr id="9288" name="Relay1Fault1"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111</xdr:row>
          <xdr:rowOff>0</xdr:rowOff>
        </xdr:from>
        <xdr:to>
          <xdr:col>6</xdr:col>
          <xdr:colOff>0</xdr:colOff>
          <xdr:row>112</xdr:row>
          <xdr:rowOff>0</xdr:rowOff>
        </xdr:to>
        <xdr:sp macro="" textlink="">
          <xdr:nvSpPr>
            <xdr:cNvPr id="9289" name="Relay1Fault2"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112</xdr:row>
          <xdr:rowOff>0</xdr:rowOff>
        </xdr:from>
        <xdr:to>
          <xdr:col>6</xdr:col>
          <xdr:colOff>0</xdr:colOff>
          <xdr:row>113</xdr:row>
          <xdr:rowOff>0</xdr:rowOff>
        </xdr:to>
        <xdr:sp macro="" textlink="">
          <xdr:nvSpPr>
            <xdr:cNvPr id="9290" name="Relay1Fault3"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122</xdr:row>
          <xdr:rowOff>0</xdr:rowOff>
        </xdr:from>
        <xdr:to>
          <xdr:col>2</xdr:col>
          <xdr:colOff>0</xdr:colOff>
          <xdr:row>123</xdr:row>
          <xdr:rowOff>0</xdr:rowOff>
        </xdr:to>
        <xdr:sp macro="" textlink="">
          <xdr:nvSpPr>
            <xdr:cNvPr id="9291" name="Relay1"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129</xdr:row>
          <xdr:rowOff>0</xdr:rowOff>
        </xdr:from>
        <xdr:to>
          <xdr:col>2</xdr:col>
          <xdr:colOff>0</xdr:colOff>
          <xdr:row>131</xdr:row>
          <xdr:rowOff>0</xdr:rowOff>
        </xdr:to>
        <xdr:sp macro="" textlink="">
          <xdr:nvSpPr>
            <xdr:cNvPr id="9292" name="Curve1"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124</xdr:row>
          <xdr:rowOff>0</xdr:rowOff>
        </xdr:from>
        <xdr:to>
          <xdr:col>9</xdr:col>
          <xdr:colOff>0</xdr:colOff>
          <xdr:row>125</xdr:row>
          <xdr:rowOff>0</xdr:rowOff>
        </xdr:to>
        <xdr:sp macro="" textlink="">
          <xdr:nvSpPr>
            <xdr:cNvPr id="9294" name="Downstream1"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125</xdr:row>
          <xdr:rowOff>0</xdr:rowOff>
        </xdr:from>
        <xdr:to>
          <xdr:col>6</xdr:col>
          <xdr:colOff>0</xdr:colOff>
          <xdr:row>126</xdr:row>
          <xdr:rowOff>0</xdr:rowOff>
        </xdr:to>
        <xdr:sp macro="" textlink="">
          <xdr:nvSpPr>
            <xdr:cNvPr id="9295" name="Relay1Fault1"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126</xdr:row>
          <xdr:rowOff>0</xdr:rowOff>
        </xdr:from>
        <xdr:to>
          <xdr:col>6</xdr:col>
          <xdr:colOff>0</xdr:colOff>
          <xdr:row>127</xdr:row>
          <xdr:rowOff>0</xdr:rowOff>
        </xdr:to>
        <xdr:sp macro="" textlink="">
          <xdr:nvSpPr>
            <xdr:cNvPr id="9296" name="Relay1Fault2"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xdr:row>
          <xdr:rowOff>0</xdr:rowOff>
        </xdr:from>
        <xdr:to>
          <xdr:col>6</xdr:col>
          <xdr:colOff>0</xdr:colOff>
          <xdr:row>128</xdr:row>
          <xdr:rowOff>0</xdr:rowOff>
        </xdr:to>
        <xdr:sp macro="" textlink="">
          <xdr:nvSpPr>
            <xdr:cNvPr id="9297" name="Relay1Fault3"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137</xdr:row>
          <xdr:rowOff>0</xdr:rowOff>
        </xdr:from>
        <xdr:to>
          <xdr:col>2</xdr:col>
          <xdr:colOff>0</xdr:colOff>
          <xdr:row>138</xdr:row>
          <xdr:rowOff>0</xdr:rowOff>
        </xdr:to>
        <xdr:sp macro="" textlink="">
          <xdr:nvSpPr>
            <xdr:cNvPr id="9298" name="Relay1"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144</xdr:row>
          <xdr:rowOff>0</xdr:rowOff>
        </xdr:from>
        <xdr:to>
          <xdr:col>2</xdr:col>
          <xdr:colOff>0</xdr:colOff>
          <xdr:row>146</xdr:row>
          <xdr:rowOff>0</xdr:rowOff>
        </xdr:to>
        <xdr:sp macro="" textlink="">
          <xdr:nvSpPr>
            <xdr:cNvPr id="9299" name="Curve1"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9</xdr:col>
          <xdr:colOff>0</xdr:colOff>
          <xdr:row>140</xdr:row>
          <xdr:rowOff>0</xdr:rowOff>
        </xdr:to>
        <xdr:sp macro="" textlink="">
          <xdr:nvSpPr>
            <xdr:cNvPr id="9301" name="Downstream1"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140</xdr:row>
          <xdr:rowOff>0</xdr:rowOff>
        </xdr:from>
        <xdr:to>
          <xdr:col>6</xdr:col>
          <xdr:colOff>0</xdr:colOff>
          <xdr:row>141</xdr:row>
          <xdr:rowOff>0</xdr:rowOff>
        </xdr:to>
        <xdr:sp macro="" textlink="">
          <xdr:nvSpPr>
            <xdr:cNvPr id="9302" name="Relay1Fault1"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141</xdr:row>
          <xdr:rowOff>0</xdr:rowOff>
        </xdr:from>
        <xdr:to>
          <xdr:col>6</xdr:col>
          <xdr:colOff>0</xdr:colOff>
          <xdr:row>142</xdr:row>
          <xdr:rowOff>0</xdr:rowOff>
        </xdr:to>
        <xdr:sp macro="" textlink="">
          <xdr:nvSpPr>
            <xdr:cNvPr id="9303" name="Relay1Fault2"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142</xdr:row>
          <xdr:rowOff>0</xdr:rowOff>
        </xdr:from>
        <xdr:to>
          <xdr:col>6</xdr:col>
          <xdr:colOff>0</xdr:colOff>
          <xdr:row>143</xdr:row>
          <xdr:rowOff>0</xdr:rowOff>
        </xdr:to>
        <xdr:sp macro="" textlink="">
          <xdr:nvSpPr>
            <xdr:cNvPr id="9304" name="Relay1Fault3"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11</xdr:row>
          <xdr:rowOff>0</xdr:rowOff>
        </xdr:to>
        <xdr:sp macro="" textlink="">
          <xdr:nvSpPr>
            <xdr:cNvPr id="9305" name="Curve1"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26</xdr:row>
          <xdr:rowOff>0</xdr:rowOff>
        </xdr:to>
        <xdr:sp macro="" textlink="">
          <xdr:nvSpPr>
            <xdr:cNvPr id="9306" name="Curve1"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0</xdr:colOff>
          <xdr:row>41</xdr:row>
          <xdr:rowOff>0</xdr:rowOff>
        </xdr:to>
        <xdr:sp macro="" textlink="">
          <xdr:nvSpPr>
            <xdr:cNvPr id="9307" name="Curve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9</xdr:col>
          <xdr:colOff>0</xdr:colOff>
          <xdr:row>56</xdr:row>
          <xdr:rowOff>0</xdr:rowOff>
        </xdr:to>
        <xdr:sp macro="" textlink="">
          <xdr:nvSpPr>
            <xdr:cNvPr id="9308" name="Curve1"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9</xdr:col>
          <xdr:colOff>0</xdr:colOff>
          <xdr:row>71</xdr:row>
          <xdr:rowOff>0</xdr:rowOff>
        </xdr:to>
        <xdr:sp macro="" textlink="">
          <xdr:nvSpPr>
            <xdr:cNvPr id="9309" name="Curve1"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9</xdr:col>
          <xdr:colOff>0</xdr:colOff>
          <xdr:row>101</xdr:row>
          <xdr:rowOff>0</xdr:rowOff>
        </xdr:to>
        <xdr:sp macro="" textlink="">
          <xdr:nvSpPr>
            <xdr:cNvPr id="9310" name="Curve1"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9</xdr:col>
          <xdr:colOff>0</xdr:colOff>
          <xdr:row>131</xdr:row>
          <xdr:rowOff>0</xdr:rowOff>
        </xdr:to>
        <xdr:sp macro="" textlink="">
          <xdr:nvSpPr>
            <xdr:cNvPr id="9311" name="Curve1"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9</xdr:col>
          <xdr:colOff>0</xdr:colOff>
          <xdr:row>146</xdr:row>
          <xdr:rowOff>0</xdr:rowOff>
        </xdr:to>
        <xdr:sp macro="" textlink="">
          <xdr:nvSpPr>
            <xdr:cNvPr id="9312" name="Curve1"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26</xdr:row>
          <xdr:rowOff>0</xdr:rowOff>
        </xdr:to>
        <xdr:sp macro="" textlink="">
          <xdr:nvSpPr>
            <xdr:cNvPr id="9313" name="Curve1"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0</xdr:colOff>
          <xdr:row>41</xdr:row>
          <xdr:rowOff>0</xdr:rowOff>
        </xdr:to>
        <xdr:sp macro="" textlink="">
          <xdr:nvSpPr>
            <xdr:cNvPr id="9314" name="Curve1"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9</xdr:col>
          <xdr:colOff>0</xdr:colOff>
          <xdr:row>56</xdr:row>
          <xdr:rowOff>0</xdr:rowOff>
        </xdr:to>
        <xdr:sp macro="" textlink="">
          <xdr:nvSpPr>
            <xdr:cNvPr id="9315" name="Curve1"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9</xdr:col>
          <xdr:colOff>0</xdr:colOff>
          <xdr:row>71</xdr:row>
          <xdr:rowOff>0</xdr:rowOff>
        </xdr:to>
        <xdr:sp macro="" textlink="">
          <xdr:nvSpPr>
            <xdr:cNvPr id="9316" name="Curve1"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84</xdr:row>
          <xdr:rowOff>0</xdr:rowOff>
        </xdr:from>
        <xdr:to>
          <xdr:col>9</xdr:col>
          <xdr:colOff>0</xdr:colOff>
          <xdr:row>86</xdr:row>
          <xdr:rowOff>0</xdr:rowOff>
        </xdr:to>
        <xdr:sp macro="" textlink="">
          <xdr:nvSpPr>
            <xdr:cNvPr id="9317" name="Curve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9</xdr:col>
          <xdr:colOff>0</xdr:colOff>
          <xdr:row>101</xdr:row>
          <xdr:rowOff>0</xdr:rowOff>
        </xdr:to>
        <xdr:sp macro="" textlink="">
          <xdr:nvSpPr>
            <xdr:cNvPr id="9318" name="Curve1"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114</xdr:row>
          <xdr:rowOff>0</xdr:rowOff>
        </xdr:from>
        <xdr:to>
          <xdr:col>9</xdr:col>
          <xdr:colOff>0</xdr:colOff>
          <xdr:row>116</xdr:row>
          <xdr:rowOff>0</xdr:rowOff>
        </xdr:to>
        <xdr:sp macro="" textlink="">
          <xdr:nvSpPr>
            <xdr:cNvPr id="9319" name="Curve1"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9</xdr:col>
          <xdr:colOff>0</xdr:colOff>
          <xdr:row>131</xdr:row>
          <xdr:rowOff>0</xdr:rowOff>
        </xdr:to>
        <xdr:sp macro="" textlink="">
          <xdr:nvSpPr>
            <xdr:cNvPr id="9320" name="Curve1"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9</xdr:col>
          <xdr:colOff>0</xdr:colOff>
          <xdr:row>146</xdr:row>
          <xdr:rowOff>0</xdr:rowOff>
        </xdr:to>
        <xdr:sp macro="" textlink="">
          <xdr:nvSpPr>
            <xdr:cNvPr id="9321" name="Curve1"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8</xdr:col>
          <xdr:colOff>0</xdr:colOff>
          <xdr:row>6</xdr:row>
          <xdr:rowOff>0</xdr:rowOff>
        </xdr:to>
        <xdr:sp macro="" textlink="">
          <xdr:nvSpPr>
            <xdr:cNvPr id="9323" name="Relay1Fault1"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8</xdr:col>
          <xdr:colOff>0</xdr:colOff>
          <xdr:row>7</xdr:row>
          <xdr:rowOff>0</xdr:rowOff>
        </xdr:to>
        <xdr:sp macro="" textlink="">
          <xdr:nvSpPr>
            <xdr:cNvPr id="9324" name="Relay1Fault1"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8</xdr:col>
          <xdr:colOff>0</xdr:colOff>
          <xdr:row>8</xdr:row>
          <xdr:rowOff>0</xdr:rowOff>
        </xdr:to>
        <xdr:sp macro="" textlink="">
          <xdr:nvSpPr>
            <xdr:cNvPr id="9325" name="Relay1Fault1"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9326" name="Relay1Fault1"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0</xdr:colOff>
          <xdr:row>22</xdr:row>
          <xdr:rowOff>0</xdr:rowOff>
        </xdr:to>
        <xdr:sp macro="" textlink="">
          <xdr:nvSpPr>
            <xdr:cNvPr id="9327" name="Relay1Fault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9328" name="Relay1Fault1"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9329" name="Relay1Fault1"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9330" name="Relay1Fault1"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9331" name="Relay1Fault1"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9332" name="Relay1Fault1"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8</xdr:col>
          <xdr:colOff>0</xdr:colOff>
          <xdr:row>52</xdr:row>
          <xdr:rowOff>0</xdr:rowOff>
        </xdr:to>
        <xdr:sp macro="" textlink="">
          <xdr:nvSpPr>
            <xdr:cNvPr id="9333" name="Relay1Fault1"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9334" name="Relay1Fault1"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65</xdr:row>
          <xdr:rowOff>0</xdr:rowOff>
        </xdr:from>
        <xdr:to>
          <xdr:col>8</xdr:col>
          <xdr:colOff>0</xdr:colOff>
          <xdr:row>66</xdr:row>
          <xdr:rowOff>0</xdr:rowOff>
        </xdr:to>
        <xdr:sp macro="" textlink="">
          <xdr:nvSpPr>
            <xdr:cNvPr id="9335" name="Relay1Fault1"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66</xdr:row>
          <xdr:rowOff>0</xdr:rowOff>
        </xdr:from>
        <xdr:to>
          <xdr:col>8</xdr:col>
          <xdr:colOff>0</xdr:colOff>
          <xdr:row>67</xdr:row>
          <xdr:rowOff>0</xdr:rowOff>
        </xdr:to>
        <xdr:sp macro="" textlink="">
          <xdr:nvSpPr>
            <xdr:cNvPr id="9336" name="Relay1Fault1"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67</xdr:row>
          <xdr:rowOff>0</xdr:rowOff>
        </xdr:from>
        <xdr:to>
          <xdr:col>8</xdr:col>
          <xdr:colOff>0</xdr:colOff>
          <xdr:row>68</xdr:row>
          <xdr:rowOff>0</xdr:rowOff>
        </xdr:to>
        <xdr:sp macro="" textlink="">
          <xdr:nvSpPr>
            <xdr:cNvPr id="9337" name="Relay1Fault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80</xdr:row>
          <xdr:rowOff>9525</xdr:rowOff>
        </xdr:from>
        <xdr:to>
          <xdr:col>8</xdr:col>
          <xdr:colOff>0</xdr:colOff>
          <xdr:row>81</xdr:row>
          <xdr:rowOff>9525</xdr:rowOff>
        </xdr:to>
        <xdr:sp macro="" textlink="">
          <xdr:nvSpPr>
            <xdr:cNvPr id="9338" name="Relay1Fault1"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80</xdr:row>
          <xdr:rowOff>0</xdr:rowOff>
        </xdr:from>
        <xdr:to>
          <xdr:col>8</xdr:col>
          <xdr:colOff>0</xdr:colOff>
          <xdr:row>81</xdr:row>
          <xdr:rowOff>0</xdr:rowOff>
        </xdr:to>
        <xdr:sp macro="" textlink="">
          <xdr:nvSpPr>
            <xdr:cNvPr id="9339" name="Relay1Fault1"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81</xdr:row>
          <xdr:rowOff>0</xdr:rowOff>
        </xdr:from>
        <xdr:to>
          <xdr:col>8</xdr:col>
          <xdr:colOff>0</xdr:colOff>
          <xdr:row>82</xdr:row>
          <xdr:rowOff>0</xdr:rowOff>
        </xdr:to>
        <xdr:sp macro="" textlink="">
          <xdr:nvSpPr>
            <xdr:cNvPr id="9340" name="Relay1Fault1"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82</xdr:row>
          <xdr:rowOff>0</xdr:rowOff>
        </xdr:from>
        <xdr:to>
          <xdr:col>8</xdr:col>
          <xdr:colOff>0</xdr:colOff>
          <xdr:row>83</xdr:row>
          <xdr:rowOff>0</xdr:rowOff>
        </xdr:to>
        <xdr:sp macro="" textlink="">
          <xdr:nvSpPr>
            <xdr:cNvPr id="9341" name="Relay1Fault1"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95</xdr:row>
          <xdr:rowOff>0</xdr:rowOff>
        </xdr:from>
        <xdr:to>
          <xdr:col>8</xdr:col>
          <xdr:colOff>0</xdr:colOff>
          <xdr:row>96</xdr:row>
          <xdr:rowOff>0</xdr:rowOff>
        </xdr:to>
        <xdr:sp macro="" textlink="">
          <xdr:nvSpPr>
            <xdr:cNvPr id="9342" name="Relay1Fault1"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96</xdr:row>
          <xdr:rowOff>0</xdr:rowOff>
        </xdr:from>
        <xdr:to>
          <xdr:col>8</xdr:col>
          <xdr:colOff>0</xdr:colOff>
          <xdr:row>97</xdr:row>
          <xdr:rowOff>0</xdr:rowOff>
        </xdr:to>
        <xdr:sp macro="" textlink="">
          <xdr:nvSpPr>
            <xdr:cNvPr id="9343" name="Relay1Fault1"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97</xdr:row>
          <xdr:rowOff>0</xdr:rowOff>
        </xdr:from>
        <xdr:to>
          <xdr:col>8</xdr:col>
          <xdr:colOff>0</xdr:colOff>
          <xdr:row>98</xdr:row>
          <xdr:rowOff>0</xdr:rowOff>
        </xdr:to>
        <xdr:sp macro="" textlink="">
          <xdr:nvSpPr>
            <xdr:cNvPr id="9344" name="Relay1Fault1"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110</xdr:row>
          <xdr:rowOff>0</xdr:rowOff>
        </xdr:from>
        <xdr:to>
          <xdr:col>8</xdr:col>
          <xdr:colOff>0</xdr:colOff>
          <xdr:row>111</xdr:row>
          <xdr:rowOff>0</xdr:rowOff>
        </xdr:to>
        <xdr:sp macro="" textlink="">
          <xdr:nvSpPr>
            <xdr:cNvPr id="9345" name="Relay1Fault1"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111</xdr:row>
          <xdr:rowOff>0</xdr:rowOff>
        </xdr:from>
        <xdr:to>
          <xdr:col>8</xdr:col>
          <xdr:colOff>0</xdr:colOff>
          <xdr:row>112</xdr:row>
          <xdr:rowOff>0</xdr:rowOff>
        </xdr:to>
        <xdr:sp macro="" textlink="">
          <xdr:nvSpPr>
            <xdr:cNvPr id="9346" name="Relay1Fault1"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112</xdr:row>
          <xdr:rowOff>0</xdr:rowOff>
        </xdr:from>
        <xdr:to>
          <xdr:col>8</xdr:col>
          <xdr:colOff>0</xdr:colOff>
          <xdr:row>113</xdr:row>
          <xdr:rowOff>0</xdr:rowOff>
        </xdr:to>
        <xdr:sp macro="" textlink="">
          <xdr:nvSpPr>
            <xdr:cNvPr id="9347" name="Relay1Fault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125</xdr:row>
          <xdr:rowOff>0</xdr:rowOff>
        </xdr:from>
        <xdr:to>
          <xdr:col>8</xdr:col>
          <xdr:colOff>0</xdr:colOff>
          <xdr:row>126</xdr:row>
          <xdr:rowOff>0</xdr:rowOff>
        </xdr:to>
        <xdr:sp macro="" textlink="">
          <xdr:nvSpPr>
            <xdr:cNvPr id="9348" name="Relay1Fault1"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126</xdr:row>
          <xdr:rowOff>0</xdr:rowOff>
        </xdr:from>
        <xdr:to>
          <xdr:col>8</xdr:col>
          <xdr:colOff>0</xdr:colOff>
          <xdr:row>127</xdr:row>
          <xdr:rowOff>0</xdr:rowOff>
        </xdr:to>
        <xdr:sp macro="" textlink="">
          <xdr:nvSpPr>
            <xdr:cNvPr id="9349" name="Relay1Fault1"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127</xdr:row>
          <xdr:rowOff>0</xdr:rowOff>
        </xdr:from>
        <xdr:to>
          <xdr:col>8</xdr:col>
          <xdr:colOff>0</xdr:colOff>
          <xdr:row>128</xdr:row>
          <xdr:rowOff>0</xdr:rowOff>
        </xdr:to>
        <xdr:sp macro="" textlink="">
          <xdr:nvSpPr>
            <xdr:cNvPr id="9350" name="Relay1Fault1" hidden="1">
              <a:extLst>
                <a:ext uri="{63B3BB69-23CF-44E3-9099-C40C66FF867C}">
                  <a14:compatExt spid="_x0000_s9350"/>
                </a:ext>
                <a:ext uri="{FF2B5EF4-FFF2-40B4-BE49-F238E27FC236}">
                  <a16:creationId xmlns:a16="http://schemas.microsoft.com/office/drawing/2014/main" id="{00000000-0008-0000-0300-00008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140</xdr:row>
          <xdr:rowOff>0</xdr:rowOff>
        </xdr:from>
        <xdr:to>
          <xdr:col>8</xdr:col>
          <xdr:colOff>0</xdr:colOff>
          <xdr:row>141</xdr:row>
          <xdr:rowOff>0</xdr:rowOff>
        </xdr:to>
        <xdr:sp macro="" textlink="">
          <xdr:nvSpPr>
            <xdr:cNvPr id="9351" name="Relay1Fault1" hidden="1">
              <a:extLst>
                <a:ext uri="{63B3BB69-23CF-44E3-9099-C40C66FF867C}">
                  <a14:compatExt spid="_x0000_s9351"/>
                </a:ext>
                <a:ext uri="{FF2B5EF4-FFF2-40B4-BE49-F238E27FC236}">
                  <a16:creationId xmlns:a16="http://schemas.microsoft.com/office/drawing/2014/main" id="{00000000-0008-0000-0300-00008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141</xdr:row>
          <xdr:rowOff>0</xdr:rowOff>
        </xdr:from>
        <xdr:to>
          <xdr:col>8</xdr:col>
          <xdr:colOff>0</xdr:colOff>
          <xdr:row>142</xdr:row>
          <xdr:rowOff>0</xdr:rowOff>
        </xdr:to>
        <xdr:sp macro="" textlink="">
          <xdr:nvSpPr>
            <xdr:cNvPr id="9352" name="Relay1Fault1" hidden="1">
              <a:extLst>
                <a:ext uri="{63B3BB69-23CF-44E3-9099-C40C66FF867C}">
                  <a14:compatExt spid="_x0000_s9352"/>
                </a:ext>
                <a:ext uri="{FF2B5EF4-FFF2-40B4-BE49-F238E27FC236}">
                  <a16:creationId xmlns:a16="http://schemas.microsoft.com/office/drawing/2014/main" id="{00000000-0008-0000-0300-00008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142</xdr:row>
          <xdr:rowOff>0</xdr:rowOff>
        </xdr:from>
        <xdr:to>
          <xdr:col>8</xdr:col>
          <xdr:colOff>0</xdr:colOff>
          <xdr:row>143</xdr:row>
          <xdr:rowOff>0</xdr:rowOff>
        </xdr:to>
        <xdr:sp macro="" textlink="">
          <xdr:nvSpPr>
            <xdr:cNvPr id="9353" name="Relay1Fault1" hidden="1">
              <a:extLst>
                <a:ext uri="{63B3BB69-23CF-44E3-9099-C40C66FF867C}">
                  <a14:compatExt spid="_x0000_s9353"/>
                </a:ext>
                <a:ext uri="{FF2B5EF4-FFF2-40B4-BE49-F238E27FC236}">
                  <a16:creationId xmlns:a16="http://schemas.microsoft.com/office/drawing/2014/main" id="{00000000-0008-0000-0300-00008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xdr:row>
          <xdr:rowOff>161925</xdr:rowOff>
        </xdr:from>
        <xdr:to>
          <xdr:col>2</xdr:col>
          <xdr:colOff>19050</xdr:colOff>
          <xdr:row>2</xdr:row>
          <xdr:rowOff>180975</xdr:rowOff>
        </xdr:to>
        <xdr:sp macro="" textlink="">
          <xdr:nvSpPr>
            <xdr:cNvPr id="1026" name="Relay1"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1030" name="Curve1"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049" name="Relay1RelayA" hidden="1">
              <a:extLst>
                <a:ext uri="{63B3BB69-23CF-44E3-9099-C40C66FF867C}">
                  <a14:compatExt spid="_x0000_s1049"/>
                </a:ext>
                <a:ext uri="{FF2B5EF4-FFF2-40B4-BE49-F238E27FC236}">
                  <a16:creationId xmlns:a16="http://schemas.microsoft.com/office/drawing/2014/main" id="{00000000-0008-0000-04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051" name="Relay1FaultA1"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052" name="Relay1FaultA2" hidden="1">
              <a:extLst>
                <a:ext uri="{63B3BB69-23CF-44E3-9099-C40C66FF867C}">
                  <a14:compatExt spid="_x0000_s1052"/>
                </a:ext>
                <a:ext uri="{FF2B5EF4-FFF2-40B4-BE49-F238E27FC236}">
                  <a16:creationId xmlns:a16="http://schemas.microsoft.com/office/drawing/2014/main" id="{00000000-0008-0000-04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053" name="Relay1FaultA3"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2</xdr:row>
          <xdr:rowOff>9525</xdr:rowOff>
        </xdr:from>
        <xdr:to>
          <xdr:col>12</xdr:col>
          <xdr:colOff>19050</xdr:colOff>
          <xdr:row>3</xdr:row>
          <xdr:rowOff>9525</xdr:rowOff>
        </xdr:to>
        <xdr:sp macro="" textlink="">
          <xdr:nvSpPr>
            <xdr:cNvPr id="1055" name="StartingCurrent"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064" name="HideRelay1"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Relay1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072" name="HideRelay1" hidden="1">
              <a:extLst>
                <a:ext uri="{63B3BB69-23CF-44E3-9099-C40C66FF867C}">
                  <a14:compatExt spid="_x0000_s1072"/>
                </a:ex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209550</xdr:rowOff>
        </xdr:from>
        <xdr:to>
          <xdr:col>5</xdr:col>
          <xdr:colOff>85725</xdr:colOff>
          <xdr:row>6</xdr:row>
          <xdr:rowOff>9525</xdr:rowOff>
        </xdr:to>
        <xdr:sp macro="" textlink="">
          <xdr:nvSpPr>
            <xdr:cNvPr id="1073" name="LegendVoltage1" hidden="1">
              <a:extLst>
                <a:ext uri="{63B3BB69-23CF-44E3-9099-C40C66FF867C}">
                  <a14:compatExt spid="_x0000_s1073"/>
                </a:ext>
                <a:ext uri="{FF2B5EF4-FFF2-40B4-BE49-F238E27FC236}">
                  <a16:creationId xmlns:a16="http://schemas.microsoft.com/office/drawing/2014/main" id="{00000000-0008-0000-0400-000031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180975</xdr:rowOff>
        </xdr:from>
        <xdr:to>
          <xdr:col>5</xdr:col>
          <xdr:colOff>85725</xdr:colOff>
          <xdr:row>7</xdr:row>
          <xdr:rowOff>0</xdr:rowOff>
        </xdr:to>
        <xdr:sp macro="" textlink="">
          <xdr:nvSpPr>
            <xdr:cNvPr id="1075" name="LegendCT1" hidden="1">
              <a:extLst>
                <a:ext uri="{63B3BB69-23CF-44E3-9099-C40C66FF867C}">
                  <a14:compatExt spid="_x0000_s1075"/>
                </a:ext>
                <a:ext uri="{FF2B5EF4-FFF2-40B4-BE49-F238E27FC236}">
                  <a16:creationId xmlns:a16="http://schemas.microsoft.com/office/drawing/2014/main" id="{00000000-0008-0000-0400-000033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190500</xdr:rowOff>
        </xdr:from>
        <xdr:to>
          <xdr:col>5</xdr:col>
          <xdr:colOff>85725</xdr:colOff>
          <xdr:row>8</xdr:row>
          <xdr:rowOff>9525</xdr:rowOff>
        </xdr:to>
        <xdr:sp macro="" textlink="">
          <xdr:nvSpPr>
            <xdr:cNvPr id="1076" name="LegendPrimary1" hidden="1">
              <a:extLst>
                <a:ext uri="{63B3BB69-23CF-44E3-9099-C40C66FF867C}">
                  <a14:compatExt spid="_x0000_s1076"/>
                </a:ext>
                <a:ext uri="{FF2B5EF4-FFF2-40B4-BE49-F238E27FC236}">
                  <a16:creationId xmlns:a16="http://schemas.microsoft.com/office/drawing/2014/main" id="{00000000-0008-0000-0400-000034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5</xdr:col>
          <xdr:colOff>85725</xdr:colOff>
          <xdr:row>9</xdr:row>
          <xdr:rowOff>9525</xdr:rowOff>
        </xdr:to>
        <xdr:sp macro="" textlink="">
          <xdr:nvSpPr>
            <xdr:cNvPr id="1077" name="LegendSecondary1" hidden="1">
              <a:extLst>
                <a:ext uri="{63B3BB69-23CF-44E3-9099-C40C66FF867C}">
                  <a14:compatExt spid="_x0000_s1077"/>
                </a:ext>
                <a:ext uri="{FF2B5EF4-FFF2-40B4-BE49-F238E27FC236}">
                  <a16:creationId xmlns:a16="http://schemas.microsoft.com/office/drawing/2014/main" id="{00000000-0008-0000-0400-000035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190500</xdr:rowOff>
        </xdr:from>
        <xdr:to>
          <xdr:col>5</xdr:col>
          <xdr:colOff>85725</xdr:colOff>
          <xdr:row>10</xdr:row>
          <xdr:rowOff>9525</xdr:rowOff>
        </xdr:to>
        <xdr:sp macro="" textlink="">
          <xdr:nvSpPr>
            <xdr:cNvPr id="1078" name="LegendTM1" hidden="1">
              <a:extLst>
                <a:ext uri="{63B3BB69-23CF-44E3-9099-C40C66FF867C}">
                  <a14:compatExt spid="_x0000_s1078"/>
                </a:ext>
                <a:ext uri="{FF2B5EF4-FFF2-40B4-BE49-F238E27FC236}">
                  <a16:creationId xmlns:a16="http://schemas.microsoft.com/office/drawing/2014/main" id="{00000000-0008-0000-0400-000036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190500</xdr:rowOff>
        </xdr:from>
        <xdr:to>
          <xdr:col>5</xdr:col>
          <xdr:colOff>85725</xdr:colOff>
          <xdr:row>13</xdr:row>
          <xdr:rowOff>9525</xdr:rowOff>
        </xdr:to>
        <xdr:sp macro="" textlink="">
          <xdr:nvSpPr>
            <xdr:cNvPr id="1080" name="LegendInst1" hidden="1">
              <a:extLst>
                <a:ext uri="{63B3BB69-23CF-44E3-9099-C40C66FF867C}">
                  <a14:compatExt spid="_x0000_s1080"/>
                </a:ext>
                <a:ext uri="{FF2B5EF4-FFF2-40B4-BE49-F238E27FC236}">
                  <a16:creationId xmlns:a16="http://schemas.microsoft.com/office/drawing/2014/main" id="{00000000-0008-0000-0400-000038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7631412" name="Thumbnail1">
          <a:extLst>
            <a:ext uri="{FF2B5EF4-FFF2-40B4-BE49-F238E27FC236}">
              <a16:creationId xmlns:a16="http://schemas.microsoft.com/office/drawing/2014/main" id="{00000000-0008-0000-0400-0000B4080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9525</xdr:colOff>
          <xdr:row>21</xdr:row>
          <xdr:rowOff>9525</xdr:rowOff>
        </xdr:from>
        <xdr:to>
          <xdr:col>2</xdr:col>
          <xdr:colOff>9525</xdr:colOff>
          <xdr:row>22</xdr:row>
          <xdr:rowOff>9525</xdr:rowOff>
        </xdr:to>
        <xdr:sp macro="" textlink="">
          <xdr:nvSpPr>
            <xdr:cNvPr id="1083" name="Setting Status" hidden="1">
              <a:extLst>
                <a:ext uri="{63B3BB69-23CF-44E3-9099-C40C66FF867C}">
                  <a14:compatExt spid="_x0000_s1083"/>
                </a:ext>
                <a:ext uri="{FF2B5EF4-FFF2-40B4-BE49-F238E27FC236}">
                  <a16:creationId xmlns:a16="http://schemas.microsoft.com/office/drawing/2014/main" id="{00000000-0008-0000-04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xdr:row>
          <xdr:rowOff>38100</xdr:rowOff>
        </xdr:from>
        <xdr:to>
          <xdr:col>7</xdr:col>
          <xdr:colOff>38100</xdr:colOff>
          <xdr:row>2</xdr:row>
          <xdr:rowOff>38100</xdr:rowOff>
        </xdr:to>
        <xdr:sp macro="" textlink="">
          <xdr:nvSpPr>
            <xdr:cNvPr id="1090" name="Drop Down 66" hidden="1">
              <a:extLst>
                <a:ext uri="{63B3BB69-23CF-44E3-9099-C40C66FF867C}">
                  <a14:compatExt spid="_x0000_s1090"/>
                </a:ext>
                <a:ext uri="{FF2B5EF4-FFF2-40B4-BE49-F238E27FC236}">
                  <a16:creationId xmlns:a16="http://schemas.microsoft.com/office/drawing/2014/main" id="{00000000-0008-0000-04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0</xdr:colOff>
          <xdr:row>0</xdr:row>
          <xdr:rowOff>0</xdr:rowOff>
        </xdr:from>
        <xdr:to>
          <xdr:col>34</xdr:col>
          <xdr:colOff>0</xdr:colOff>
          <xdr:row>1</xdr:row>
          <xdr:rowOff>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4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093" name="Relay1FaultB1" hidden="1">
              <a:extLst>
                <a:ext uri="{63B3BB69-23CF-44E3-9099-C40C66FF867C}">
                  <a14:compatExt spid="_x0000_s1093"/>
                </a:ext>
                <a:ext uri="{FF2B5EF4-FFF2-40B4-BE49-F238E27FC236}">
                  <a16:creationId xmlns:a16="http://schemas.microsoft.com/office/drawing/2014/main" id="{00000000-0008-0000-04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094" name="Relay1FaultB2" hidden="1">
              <a:extLst>
                <a:ext uri="{63B3BB69-23CF-44E3-9099-C40C66FF867C}">
                  <a14:compatExt spid="_x0000_s1094"/>
                </a:ext>
                <a:ext uri="{FF2B5EF4-FFF2-40B4-BE49-F238E27FC236}">
                  <a16:creationId xmlns:a16="http://schemas.microsoft.com/office/drawing/2014/main" id="{00000000-0008-0000-04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095" name="Relay1FaultB3" hidden="1">
              <a:extLst>
                <a:ext uri="{63B3BB69-23CF-44E3-9099-C40C66FF867C}">
                  <a14:compatExt spid="_x0000_s1095"/>
                </a:ext>
                <a:ext uri="{FF2B5EF4-FFF2-40B4-BE49-F238E27FC236}">
                  <a16:creationId xmlns:a16="http://schemas.microsoft.com/office/drawing/2014/main" id="{00000000-0008-0000-04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098" name="Add" hidden="1">
              <a:extLst>
                <a:ext uri="{63B3BB69-23CF-44E3-9099-C40C66FF867C}">
                  <a14:compatExt spid="_x0000_s1098"/>
                </a:ext>
                <a:ext uri="{FF2B5EF4-FFF2-40B4-BE49-F238E27FC236}">
                  <a16:creationId xmlns:a16="http://schemas.microsoft.com/office/drawing/2014/main" id="{00000000-0008-0000-0400-00004A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099" name="Add" hidden="1">
              <a:extLst>
                <a:ext uri="{63B3BB69-23CF-44E3-9099-C40C66FF867C}">
                  <a14:compatExt spid="_x0000_s1099"/>
                </a:ext>
                <a:ext uri="{FF2B5EF4-FFF2-40B4-BE49-F238E27FC236}">
                  <a16:creationId xmlns:a16="http://schemas.microsoft.com/office/drawing/2014/main" id="{00000000-0008-0000-0400-00004B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152" name="HideRelay1" hidden="1">
              <a:extLst>
                <a:ext uri="{63B3BB69-23CF-44E3-9099-C40C66FF867C}">
                  <a14:compatExt spid="_x0000_s1152"/>
                </a:ext>
                <a:ext uri="{FF2B5EF4-FFF2-40B4-BE49-F238E27FC236}">
                  <a16:creationId xmlns:a16="http://schemas.microsoft.com/office/drawing/2014/main" id="{00000000-0008-0000-0400-00008004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190500</xdr:rowOff>
        </xdr:from>
        <xdr:to>
          <xdr:col>5</xdr:col>
          <xdr:colOff>85725</xdr:colOff>
          <xdr:row>25</xdr:row>
          <xdr:rowOff>9525</xdr:rowOff>
        </xdr:to>
        <xdr:sp macro="" textlink="">
          <xdr:nvSpPr>
            <xdr:cNvPr id="1240" name="LegendInst1" hidden="1">
              <a:extLst>
                <a:ext uri="{63B3BB69-23CF-44E3-9099-C40C66FF867C}">
                  <a14:compatExt spid="_x0000_s1240"/>
                </a:ext>
                <a:ext uri="{FF2B5EF4-FFF2-40B4-BE49-F238E27FC236}">
                  <a16:creationId xmlns:a16="http://schemas.microsoft.com/office/drawing/2014/main" id="{00000000-0008-0000-0400-0000D804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5</xdr:col>
      <xdr:colOff>38100</xdr:colOff>
      <xdr:row>34</xdr:row>
      <xdr:rowOff>9525</xdr:rowOff>
    </xdr:from>
    <xdr:to>
      <xdr:col>8</xdr:col>
      <xdr:colOff>180975</xdr:colOff>
      <xdr:row>37</xdr:row>
      <xdr:rowOff>171450</xdr:rowOff>
    </xdr:to>
    <xdr:sp macro="" textlink="$A$46">
      <xdr:nvSpPr>
        <xdr:cNvPr id="2" name="TextBox 1">
          <a:extLst>
            <a:ext uri="{FF2B5EF4-FFF2-40B4-BE49-F238E27FC236}">
              <a16:creationId xmlns:a16="http://schemas.microsoft.com/office/drawing/2014/main" id="{00000000-0008-0000-0400-000002000000}"/>
            </a:ext>
          </a:extLst>
        </xdr:cNvPr>
        <xdr:cNvSpPr txBox="1"/>
      </xdr:nvSpPr>
      <xdr:spPr>
        <a:xfrm>
          <a:off x="3171825" y="6848475"/>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A88A0D-3922-4754-B75C-6996C3598C3F}"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26</xdr:row>
          <xdr:rowOff>190500</xdr:rowOff>
        </xdr:from>
        <xdr:to>
          <xdr:col>5</xdr:col>
          <xdr:colOff>85725</xdr:colOff>
          <xdr:row>28</xdr:row>
          <xdr:rowOff>9525</xdr:rowOff>
        </xdr:to>
        <xdr:sp macro="" textlink="">
          <xdr:nvSpPr>
            <xdr:cNvPr id="1542" name="LegendInst1" hidden="1">
              <a:extLst>
                <a:ext uri="{63B3BB69-23CF-44E3-9099-C40C66FF867C}">
                  <a14:compatExt spid="_x0000_s1542"/>
                </a:ext>
                <a:ext uri="{FF2B5EF4-FFF2-40B4-BE49-F238E27FC236}">
                  <a16:creationId xmlns:a16="http://schemas.microsoft.com/office/drawing/2014/main" id="{00000000-0008-0000-0400-00000606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190500</xdr:rowOff>
        </xdr:from>
        <xdr:to>
          <xdr:col>5</xdr:col>
          <xdr:colOff>85725</xdr:colOff>
          <xdr:row>28</xdr:row>
          <xdr:rowOff>9525</xdr:rowOff>
        </xdr:to>
        <xdr:sp macro="" textlink="">
          <xdr:nvSpPr>
            <xdr:cNvPr id="1609" name="LegendInst1" hidden="1">
              <a:extLst>
                <a:ext uri="{63B3BB69-23CF-44E3-9099-C40C66FF867C}">
                  <a14:compatExt spid="_x0000_s1609"/>
                </a:ext>
                <a:ext uri="{FF2B5EF4-FFF2-40B4-BE49-F238E27FC236}">
                  <a16:creationId xmlns:a16="http://schemas.microsoft.com/office/drawing/2014/main" id="{00000000-0008-0000-0400-00004906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671" name="HideRelay1" hidden="1">
              <a:extLst>
                <a:ext uri="{63B3BB69-23CF-44E3-9099-C40C66FF867C}">
                  <a14:compatExt spid="_x0000_s1671"/>
                </a:ext>
                <a:ext uri="{FF2B5EF4-FFF2-40B4-BE49-F238E27FC236}">
                  <a16:creationId xmlns:a16="http://schemas.microsoft.com/office/drawing/2014/main" id="{00000000-0008-0000-0400-00008706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672" name="HideRelay1" hidden="1">
              <a:extLst>
                <a:ext uri="{63B3BB69-23CF-44E3-9099-C40C66FF867C}">
                  <a14:compatExt spid="_x0000_s1672"/>
                </a:ext>
                <a:ext uri="{FF2B5EF4-FFF2-40B4-BE49-F238E27FC236}">
                  <a16:creationId xmlns:a16="http://schemas.microsoft.com/office/drawing/2014/main" id="{00000000-0008-0000-0400-0000880600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440769" name="Relay1" hidden="1">
              <a:extLst>
                <a:ext uri="{63B3BB69-23CF-44E3-9099-C40C66FF867C}">
                  <a14:compatExt spid="_x0000_s1440769"/>
                </a:ext>
                <a:ext uri="{FF2B5EF4-FFF2-40B4-BE49-F238E27FC236}">
                  <a16:creationId xmlns:a16="http://schemas.microsoft.com/office/drawing/2014/main" id="{00000000-0008-0000-0500-000001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440770" name="Curve1" hidden="1">
              <a:extLst>
                <a:ext uri="{63B3BB69-23CF-44E3-9099-C40C66FF867C}">
                  <a14:compatExt spid="_x0000_s1440770"/>
                </a:ext>
                <a:ext uri="{FF2B5EF4-FFF2-40B4-BE49-F238E27FC236}">
                  <a16:creationId xmlns:a16="http://schemas.microsoft.com/office/drawing/2014/main" id="{00000000-0008-0000-0500-000002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440771" name="Upstream1" hidden="1">
              <a:extLst>
                <a:ext uri="{63B3BB69-23CF-44E3-9099-C40C66FF867C}">
                  <a14:compatExt spid="_x0000_s1440771"/>
                </a:ext>
                <a:ext uri="{FF2B5EF4-FFF2-40B4-BE49-F238E27FC236}">
                  <a16:creationId xmlns:a16="http://schemas.microsoft.com/office/drawing/2014/main" id="{00000000-0008-0000-0500-000003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440773" name="Relay1Fault1" hidden="1">
              <a:extLst>
                <a:ext uri="{63B3BB69-23CF-44E3-9099-C40C66FF867C}">
                  <a14:compatExt spid="_x0000_s1440773"/>
                </a:ext>
                <a:ext uri="{FF2B5EF4-FFF2-40B4-BE49-F238E27FC236}">
                  <a16:creationId xmlns:a16="http://schemas.microsoft.com/office/drawing/2014/main" id="{00000000-0008-0000-0500-000005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440774" name="Relay1Fault2" hidden="1">
              <a:extLst>
                <a:ext uri="{63B3BB69-23CF-44E3-9099-C40C66FF867C}">
                  <a14:compatExt spid="_x0000_s1440774"/>
                </a:ext>
                <a:ext uri="{FF2B5EF4-FFF2-40B4-BE49-F238E27FC236}">
                  <a16:creationId xmlns:a16="http://schemas.microsoft.com/office/drawing/2014/main" id="{00000000-0008-0000-0500-000006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440775" name="Relay1Fault3" hidden="1">
              <a:extLst>
                <a:ext uri="{63B3BB69-23CF-44E3-9099-C40C66FF867C}">
                  <a14:compatExt spid="_x0000_s1440775"/>
                </a:ext>
                <a:ext uri="{FF2B5EF4-FFF2-40B4-BE49-F238E27FC236}">
                  <a16:creationId xmlns:a16="http://schemas.microsoft.com/office/drawing/2014/main" id="{00000000-0008-0000-0500-000007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440778" name="HideRelay1" hidden="1">
              <a:extLst>
                <a:ext uri="{63B3BB69-23CF-44E3-9099-C40C66FF867C}">
                  <a14:compatExt spid="_x0000_s1440778"/>
                </a:ext>
                <a:ext uri="{FF2B5EF4-FFF2-40B4-BE49-F238E27FC236}">
                  <a16:creationId xmlns:a16="http://schemas.microsoft.com/office/drawing/2014/main" id="{00000000-0008-0000-0500-00000AFC15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440779" name="HideRelay1" hidden="1">
              <a:extLst>
                <a:ext uri="{63B3BB69-23CF-44E3-9099-C40C66FF867C}">
                  <a14:compatExt spid="_x0000_s1440779"/>
                </a:ext>
                <a:ext uri="{FF2B5EF4-FFF2-40B4-BE49-F238E27FC236}">
                  <a16:creationId xmlns:a16="http://schemas.microsoft.com/office/drawing/2014/main" id="{00000000-0008-0000-0500-00000BFC15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440781" name="Setting Status" hidden="1">
              <a:extLst>
                <a:ext uri="{63B3BB69-23CF-44E3-9099-C40C66FF867C}">
                  <a14:compatExt spid="_x0000_s1440781"/>
                </a:ext>
                <a:ext uri="{FF2B5EF4-FFF2-40B4-BE49-F238E27FC236}">
                  <a16:creationId xmlns:a16="http://schemas.microsoft.com/office/drawing/2014/main" id="{00000000-0008-0000-0500-00000D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52860" name="Thumbnail2">
          <a:extLst>
            <a:ext uri="{FF2B5EF4-FFF2-40B4-BE49-F238E27FC236}">
              <a16:creationId xmlns:a16="http://schemas.microsoft.com/office/drawing/2014/main" id="{00000000-0008-0000-0500-00003C84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440783" name="Drop Down 15" hidden="1">
              <a:extLst>
                <a:ext uri="{63B3BB69-23CF-44E3-9099-C40C66FF867C}">
                  <a14:compatExt spid="_x0000_s1440783"/>
                </a:ext>
                <a:ext uri="{FF2B5EF4-FFF2-40B4-BE49-F238E27FC236}">
                  <a16:creationId xmlns:a16="http://schemas.microsoft.com/office/drawing/2014/main" id="{00000000-0008-0000-0500-00000F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440784" name="Relay1FaultB1" hidden="1">
              <a:extLst>
                <a:ext uri="{63B3BB69-23CF-44E3-9099-C40C66FF867C}">
                  <a14:compatExt spid="_x0000_s1440784"/>
                </a:ext>
                <a:ext uri="{FF2B5EF4-FFF2-40B4-BE49-F238E27FC236}">
                  <a16:creationId xmlns:a16="http://schemas.microsoft.com/office/drawing/2014/main" id="{00000000-0008-0000-0500-000010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440785" name="Relay1FaultB2" hidden="1">
              <a:extLst>
                <a:ext uri="{63B3BB69-23CF-44E3-9099-C40C66FF867C}">
                  <a14:compatExt spid="_x0000_s1440785"/>
                </a:ext>
                <a:ext uri="{FF2B5EF4-FFF2-40B4-BE49-F238E27FC236}">
                  <a16:creationId xmlns:a16="http://schemas.microsoft.com/office/drawing/2014/main" id="{00000000-0008-0000-0500-000011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440786" name="Relay1FaultB3" hidden="1">
              <a:extLst>
                <a:ext uri="{63B3BB69-23CF-44E3-9099-C40C66FF867C}">
                  <a14:compatExt spid="_x0000_s1440786"/>
                </a:ext>
                <a:ext uri="{FF2B5EF4-FFF2-40B4-BE49-F238E27FC236}">
                  <a16:creationId xmlns:a16="http://schemas.microsoft.com/office/drawing/2014/main" id="{00000000-0008-0000-0500-000012F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440788" name="Add" hidden="1">
              <a:extLst>
                <a:ext uri="{63B3BB69-23CF-44E3-9099-C40C66FF867C}">
                  <a14:compatExt spid="_x0000_s1440788"/>
                </a:ext>
                <a:ext uri="{FF2B5EF4-FFF2-40B4-BE49-F238E27FC236}">
                  <a16:creationId xmlns:a16="http://schemas.microsoft.com/office/drawing/2014/main" id="{00000000-0008-0000-0500-000014FC1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440789" name="Add" hidden="1">
              <a:extLst>
                <a:ext uri="{63B3BB69-23CF-44E3-9099-C40C66FF867C}">
                  <a14:compatExt spid="_x0000_s1440789"/>
                </a:ext>
                <a:ext uri="{FF2B5EF4-FFF2-40B4-BE49-F238E27FC236}">
                  <a16:creationId xmlns:a16="http://schemas.microsoft.com/office/drawing/2014/main" id="{00000000-0008-0000-0500-000015FC15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7</xdr:col>
          <xdr:colOff>0</xdr:colOff>
          <xdr:row>6</xdr:row>
          <xdr:rowOff>19050</xdr:rowOff>
        </xdr:to>
        <xdr:sp macro="" textlink="">
          <xdr:nvSpPr>
            <xdr:cNvPr id="1440834" name="HideRelay1" hidden="1">
              <a:extLst>
                <a:ext uri="{63B3BB69-23CF-44E3-9099-C40C66FF867C}">
                  <a14:compatExt spid="_x0000_s1440834"/>
                </a:ext>
                <a:ext uri="{FF2B5EF4-FFF2-40B4-BE49-F238E27FC236}">
                  <a16:creationId xmlns:a16="http://schemas.microsoft.com/office/drawing/2014/main" id="{00000000-0008-0000-0500-000042FC15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19050</xdr:colOff>
      <xdr:row>34</xdr:row>
      <xdr:rowOff>19050</xdr:rowOff>
    </xdr:from>
    <xdr:to>
      <xdr:col>8</xdr:col>
      <xdr:colOff>161925</xdr:colOff>
      <xdr:row>37</xdr:row>
      <xdr:rowOff>180975</xdr:rowOff>
    </xdr:to>
    <xdr:sp macro="" textlink="$A$46">
      <xdr:nvSpPr>
        <xdr:cNvPr id="19" name="TextBox 18">
          <a:extLst>
            <a:ext uri="{FF2B5EF4-FFF2-40B4-BE49-F238E27FC236}">
              <a16:creationId xmlns:a16="http://schemas.microsoft.com/office/drawing/2014/main" id="{00000000-0008-0000-0500-000013000000}"/>
            </a:ext>
          </a:extLst>
        </xdr:cNvPr>
        <xdr:cNvSpPr txBox="1"/>
      </xdr:nvSpPr>
      <xdr:spPr>
        <a:xfrm>
          <a:off x="3152775" y="685800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FAD7BB-4849-40A2-8D25-CD2FD1B515C8}"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441310" name="HideRelay1" hidden="1">
              <a:extLst>
                <a:ext uri="{63B3BB69-23CF-44E3-9099-C40C66FF867C}">
                  <a14:compatExt spid="_x0000_s1441310"/>
                </a:ext>
                <a:ext uri="{FF2B5EF4-FFF2-40B4-BE49-F238E27FC236}">
                  <a16:creationId xmlns:a16="http://schemas.microsoft.com/office/drawing/2014/main" id="{00000000-0008-0000-0500-00001EFE15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441311" name="HideRelay1" hidden="1">
              <a:extLst>
                <a:ext uri="{63B3BB69-23CF-44E3-9099-C40C66FF867C}">
                  <a14:compatExt spid="_x0000_s1441311"/>
                </a:ext>
                <a:ext uri="{FF2B5EF4-FFF2-40B4-BE49-F238E27FC236}">
                  <a16:creationId xmlns:a16="http://schemas.microsoft.com/office/drawing/2014/main" id="{00000000-0008-0000-0500-00001FFE15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602561" name="Relay1" hidden="1">
              <a:extLst>
                <a:ext uri="{63B3BB69-23CF-44E3-9099-C40C66FF867C}">
                  <a14:compatExt spid="_x0000_s1602561"/>
                </a:ext>
                <a:ext uri="{FF2B5EF4-FFF2-40B4-BE49-F238E27FC236}">
                  <a16:creationId xmlns:a16="http://schemas.microsoft.com/office/drawing/2014/main" id="{00000000-0008-0000-0600-000001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602562" name="Curve1" hidden="1">
              <a:extLst>
                <a:ext uri="{63B3BB69-23CF-44E3-9099-C40C66FF867C}">
                  <a14:compatExt spid="_x0000_s1602562"/>
                </a:ext>
                <a:ext uri="{FF2B5EF4-FFF2-40B4-BE49-F238E27FC236}">
                  <a16:creationId xmlns:a16="http://schemas.microsoft.com/office/drawing/2014/main" id="{00000000-0008-0000-0600-000002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602563" name="Upstream1" hidden="1">
              <a:extLst>
                <a:ext uri="{63B3BB69-23CF-44E3-9099-C40C66FF867C}">
                  <a14:compatExt spid="_x0000_s1602563"/>
                </a:ext>
                <a:ext uri="{FF2B5EF4-FFF2-40B4-BE49-F238E27FC236}">
                  <a16:creationId xmlns:a16="http://schemas.microsoft.com/office/drawing/2014/main" id="{00000000-0008-0000-0600-000003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602565" name="Relay1Fault1" hidden="1">
              <a:extLst>
                <a:ext uri="{63B3BB69-23CF-44E3-9099-C40C66FF867C}">
                  <a14:compatExt spid="_x0000_s1602565"/>
                </a:ext>
                <a:ext uri="{FF2B5EF4-FFF2-40B4-BE49-F238E27FC236}">
                  <a16:creationId xmlns:a16="http://schemas.microsoft.com/office/drawing/2014/main" id="{00000000-0008-0000-0600-000005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602566" name="Relay1Fault2" hidden="1">
              <a:extLst>
                <a:ext uri="{63B3BB69-23CF-44E3-9099-C40C66FF867C}">
                  <a14:compatExt spid="_x0000_s1602566"/>
                </a:ext>
                <a:ext uri="{FF2B5EF4-FFF2-40B4-BE49-F238E27FC236}">
                  <a16:creationId xmlns:a16="http://schemas.microsoft.com/office/drawing/2014/main" id="{00000000-0008-0000-0600-000006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602567" name="Relay1Fault3" hidden="1">
              <a:extLst>
                <a:ext uri="{63B3BB69-23CF-44E3-9099-C40C66FF867C}">
                  <a14:compatExt spid="_x0000_s1602567"/>
                </a:ext>
                <a:ext uri="{FF2B5EF4-FFF2-40B4-BE49-F238E27FC236}">
                  <a16:creationId xmlns:a16="http://schemas.microsoft.com/office/drawing/2014/main" id="{00000000-0008-0000-0600-000007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602569" name="HideRelay1" hidden="1">
              <a:extLst>
                <a:ext uri="{63B3BB69-23CF-44E3-9099-C40C66FF867C}">
                  <a14:compatExt spid="_x0000_s1602569"/>
                </a:ext>
                <a:ext uri="{FF2B5EF4-FFF2-40B4-BE49-F238E27FC236}">
                  <a16:creationId xmlns:a16="http://schemas.microsoft.com/office/drawing/2014/main" id="{00000000-0008-0000-0600-00000974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602570" name="HideRelay1" hidden="1">
              <a:extLst>
                <a:ext uri="{63B3BB69-23CF-44E3-9099-C40C66FF867C}">
                  <a14:compatExt spid="_x0000_s1602570"/>
                </a:ext>
                <a:ext uri="{FF2B5EF4-FFF2-40B4-BE49-F238E27FC236}">
                  <a16:creationId xmlns:a16="http://schemas.microsoft.com/office/drawing/2014/main" id="{00000000-0008-0000-0600-00000A74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602572" name="Setting Status" hidden="1">
              <a:extLst>
                <a:ext uri="{63B3BB69-23CF-44E3-9099-C40C66FF867C}">
                  <a14:compatExt spid="_x0000_s1602572"/>
                </a:ext>
                <a:ext uri="{FF2B5EF4-FFF2-40B4-BE49-F238E27FC236}">
                  <a16:creationId xmlns:a16="http://schemas.microsoft.com/office/drawing/2014/main" id="{00000000-0008-0000-0600-00000C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67193" name="Thumbnail3">
          <a:extLst>
            <a:ext uri="{FF2B5EF4-FFF2-40B4-BE49-F238E27FC236}">
              <a16:creationId xmlns:a16="http://schemas.microsoft.com/office/drawing/2014/main" id="{00000000-0008-0000-0600-000039BC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602574" name="Drop Down 14" hidden="1">
              <a:extLst>
                <a:ext uri="{63B3BB69-23CF-44E3-9099-C40C66FF867C}">
                  <a14:compatExt spid="_x0000_s1602574"/>
                </a:ext>
                <a:ext uri="{FF2B5EF4-FFF2-40B4-BE49-F238E27FC236}">
                  <a16:creationId xmlns:a16="http://schemas.microsoft.com/office/drawing/2014/main" id="{00000000-0008-0000-0600-00000E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602575" name="Relay1FaultB1" hidden="1">
              <a:extLst>
                <a:ext uri="{63B3BB69-23CF-44E3-9099-C40C66FF867C}">
                  <a14:compatExt spid="_x0000_s1602575"/>
                </a:ext>
                <a:ext uri="{FF2B5EF4-FFF2-40B4-BE49-F238E27FC236}">
                  <a16:creationId xmlns:a16="http://schemas.microsoft.com/office/drawing/2014/main" id="{00000000-0008-0000-0600-00000F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602576" name="Relay1FaultB2" hidden="1">
              <a:extLst>
                <a:ext uri="{63B3BB69-23CF-44E3-9099-C40C66FF867C}">
                  <a14:compatExt spid="_x0000_s1602576"/>
                </a:ext>
                <a:ext uri="{FF2B5EF4-FFF2-40B4-BE49-F238E27FC236}">
                  <a16:creationId xmlns:a16="http://schemas.microsoft.com/office/drawing/2014/main" id="{00000000-0008-0000-0600-000010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602577" name="Relay1FaultB3" hidden="1">
              <a:extLst>
                <a:ext uri="{63B3BB69-23CF-44E3-9099-C40C66FF867C}">
                  <a14:compatExt spid="_x0000_s1602577"/>
                </a:ext>
                <a:ext uri="{FF2B5EF4-FFF2-40B4-BE49-F238E27FC236}">
                  <a16:creationId xmlns:a16="http://schemas.microsoft.com/office/drawing/2014/main" id="{00000000-0008-0000-0600-00001174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602578" name="Add" hidden="1">
              <a:extLst>
                <a:ext uri="{63B3BB69-23CF-44E3-9099-C40C66FF867C}">
                  <a14:compatExt spid="_x0000_s1602578"/>
                </a:ext>
                <a:ext uri="{FF2B5EF4-FFF2-40B4-BE49-F238E27FC236}">
                  <a16:creationId xmlns:a16="http://schemas.microsoft.com/office/drawing/2014/main" id="{00000000-0008-0000-0600-00001274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602579" name="Add" hidden="1">
              <a:extLst>
                <a:ext uri="{63B3BB69-23CF-44E3-9099-C40C66FF867C}">
                  <a14:compatExt spid="_x0000_s1602579"/>
                </a:ext>
                <a:ext uri="{FF2B5EF4-FFF2-40B4-BE49-F238E27FC236}">
                  <a16:creationId xmlns:a16="http://schemas.microsoft.com/office/drawing/2014/main" id="{00000000-0008-0000-0600-00001374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7</xdr:col>
          <xdr:colOff>0</xdr:colOff>
          <xdr:row>6</xdr:row>
          <xdr:rowOff>19050</xdr:rowOff>
        </xdr:to>
        <xdr:sp macro="" textlink="">
          <xdr:nvSpPr>
            <xdr:cNvPr id="1602623" name="HideRelay1" hidden="1">
              <a:extLst>
                <a:ext uri="{63B3BB69-23CF-44E3-9099-C40C66FF867C}">
                  <a14:compatExt spid="_x0000_s1602623"/>
                </a:ext>
                <a:ext uri="{FF2B5EF4-FFF2-40B4-BE49-F238E27FC236}">
                  <a16:creationId xmlns:a16="http://schemas.microsoft.com/office/drawing/2014/main" id="{00000000-0008-0000-0600-00003F74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6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7DE9F1-EEEC-41D0-9CBE-45DAC5F66083}"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603099" name="HideRelay1" hidden="1">
              <a:extLst>
                <a:ext uri="{63B3BB69-23CF-44E3-9099-C40C66FF867C}">
                  <a14:compatExt spid="_x0000_s1603099"/>
                </a:ext>
                <a:ext uri="{FF2B5EF4-FFF2-40B4-BE49-F238E27FC236}">
                  <a16:creationId xmlns:a16="http://schemas.microsoft.com/office/drawing/2014/main" id="{00000000-0008-0000-0600-00001B76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603100" name="HideRelay1" hidden="1">
              <a:extLst>
                <a:ext uri="{63B3BB69-23CF-44E3-9099-C40C66FF867C}">
                  <a14:compatExt spid="_x0000_s1603100"/>
                </a:ext>
                <a:ext uri="{FF2B5EF4-FFF2-40B4-BE49-F238E27FC236}">
                  <a16:creationId xmlns:a16="http://schemas.microsoft.com/office/drawing/2014/main" id="{00000000-0008-0000-0600-00001C76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603585" name="Relay1" hidden="1">
              <a:extLst>
                <a:ext uri="{63B3BB69-23CF-44E3-9099-C40C66FF867C}">
                  <a14:compatExt spid="_x0000_s1603585"/>
                </a:ext>
                <a:ext uri="{FF2B5EF4-FFF2-40B4-BE49-F238E27FC236}">
                  <a16:creationId xmlns:a16="http://schemas.microsoft.com/office/drawing/2014/main" id="{00000000-0008-0000-0700-000001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603586" name="Curve1" hidden="1">
              <a:extLst>
                <a:ext uri="{63B3BB69-23CF-44E3-9099-C40C66FF867C}">
                  <a14:compatExt spid="_x0000_s1603586"/>
                </a:ext>
                <a:ext uri="{FF2B5EF4-FFF2-40B4-BE49-F238E27FC236}">
                  <a16:creationId xmlns:a16="http://schemas.microsoft.com/office/drawing/2014/main" id="{00000000-0008-0000-0700-000002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603587" name="Upstream1" hidden="1">
              <a:extLst>
                <a:ext uri="{63B3BB69-23CF-44E3-9099-C40C66FF867C}">
                  <a14:compatExt spid="_x0000_s1603587"/>
                </a:ext>
                <a:ext uri="{FF2B5EF4-FFF2-40B4-BE49-F238E27FC236}">
                  <a16:creationId xmlns:a16="http://schemas.microsoft.com/office/drawing/2014/main" id="{00000000-0008-0000-0700-000003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603589" name="Relay1Fault1" hidden="1">
              <a:extLst>
                <a:ext uri="{63B3BB69-23CF-44E3-9099-C40C66FF867C}">
                  <a14:compatExt spid="_x0000_s1603589"/>
                </a:ext>
                <a:ext uri="{FF2B5EF4-FFF2-40B4-BE49-F238E27FC236}">
                  <a16:creationId xmlns:a16="http://schemas.microsoft.com/office/drawing/2014/main" id="{00000000-0008-0000-0700-000005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603590" name="Relay1Fault2" hidden="1">
              <a:extLst>
                <a:ext uri="{63B3BB69-23CF-44E3-9099-C40C66FF867C}">
                  <a14:compatExt spid="_x0000_s1603590"/>
                </a:ext>
                <a:ext uri="{FF2B5EF4-FFF2-40B4-BE49-F238E27FC236}">
                  <a16:creationId xmlns:a16="http://schemas.microsoft.com/office/drawing/2014/main" id="{00000000-0008-0000-0700-000006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603591" name="Relay1Fault3" hidden="1">
              <a:extLst>
                <a:ext uri="{63B3BB69-23CF-44E3-9099-C40C66FF867C}">
                  <a14:compatExt spid="_x0000_s1603591"/>
                </a:ext>
                <a:ext uri="{FF2B5EF4-FFF2-40B4-BE49-F238E27FC236}">
                  <a16:creationId xmlns:a16="http://schemas.microsoft.com/office/drawing/2014/main" id="{00000000-0008-0000-0700-000007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603593" name="HideRelay1" hidden="1">
              <a:extLst>
                <a:ext uri="{63B3BB69-23CF-44E3-9099-C40C66FF867C}">
                  <a14:compatExt spid="_x0000_s1603593"/>
                </a:ext>
                <a:ext uri="{FF2B5EF4-FFF2-40B4-BE49-F238E27FC236}">
                  <a16:creationId xmlns:a16="http://schemas.microsoft.com/office/drawing/2014/main" id="{00000000-0008-0000-0700-00000978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Relay4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603594" name="HideRelay1" hidden="1">
              <a:extLst>
                <a:ext uri="{63B3BB69-23CF-44E3-9099-C40C66FF867C}">
                  <a14:compatExt spid="_x0000_s1603594"/>
                </a:ext>
                <a:ext uri="{FF2B5EF4-FFF2-40B4-BE49-F238E27FC236}">
                  <a16:creationId xmlns:a16="http://schemas.microsoft.com/office/drawing/2014/main" id="{00000000-0008-0000-0700-00000A78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603596" name="Setting Status" hidden="1">
              <a:extLst>
                <a:ext uri="{63B3BB69-23CF-44E3-9099-C40C66FF867C}">
                  <a14:compatExt spid="_x0000_s1603596"/>
                </a:ext>
                <a:ext uri="{FF2B5EF4-FFF2-40B4-BE49-F238E27FC236}">
                  <a16:creationId xmlns:a16="http://schemas.microsoft.com/office/drawing/2014/main" id="{00000000-0008-0000-0700-00000C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69241" name="Thumbnail4">
          <a:extLst>
            <a:ext uri="{FF2B5EF4-FFF2-40B4-BE49-F238E27FC236}">
              <a16:creationId xmlns:a16="http://schemas.microsoft.com/office/drawing/2014/main" id="{00000000-0008-0000-0700-000039C4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603598" name="Drop Down 14" hidden="1">
              <a:extLst>
                <a:ext uri="{63B3BB69-23CF-44E3-9099-C40C66FF867C}">
                  <a14:compatExt spid="_x0000_s1603598"/>
                </a:ext>
                <a:ext uri="{FF2B5EF4-FFF2-40B4-BE49-F238E27FC236}">
                  <a16:creationId xmlns:a16="http://schemas.microsoft.com/office/drawing/2014/main" id="{00000000-0008-0000-0700-00000E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603599" name="Relay1FaultB1" hidden="1">
              <a:extLst>
                <a:ext uri="{63B3BB69-23CF-44E3-9099-C40C66FF867C}">
                  <a14:compatExt spid="_x0000_s1603599"/>
                </a:ext>
                <a:ext uri="{FF2B5EF4-FFF2-40B4-BE49-F238E27FC236}">
                  <a16:creationId xmlns:a16="http://schemas.microsoft.com/office/drawing/2014/main" id="{00000000-0008-0000-0700-00000F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603600" name="Relay1FaultB2" hidden="1">
              <a:extLst>
                <a:ext uri="{63B3BB69-23CF-44E3-9099-C40C66FF867C}">
                  <a14:compatExt spid="_x0000_s1603600"/>
                </a:ext>
                <a:ext uri="{FF2B5EF4-FFF2-40B4-BE49-F238E27FC236}">
                  <a16:creationId xmlns:a16="http://schemas.microsoft.com/office/drawing/2014/main" id="{00000000-0008-0000-0700-000010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603601" name="Relay1FaultB3" hidden="1">
              <a:extLst>
                <a:ext uri="{63B3BB69-23CF-44E3-9099-C40C66FF867C}">
                  <a14:compatExt spid="_x0000_s1603601"/>
                </a:ext>
                <a:ext uri="{FF2B5EF4-FFF2-40B4-BE49-F238E27FC236}">
                  <a16:creationId xmlns:a16="http://schemas.microsoft.com/office/drawing/2014/main" id="{00000000-0008-0000-0700-00001178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603602" name="Add" hidden="1">
              <a:extLst>
                <a:ext uri="{63B3BB69-23CF-44E3-9099-C40C66FF867C}">
                  <a14:compatExt spid="_x0000_s1603602"/>
                </a:ext>
                <a:ext uri="{FF2B5EF4-FFF2-40B4-BE49-F238E27FC236}">
                  <a16:creationId xmlns:a16="http://schemas.microsoft.com/office/drawing/2014/main" id="{00000000-0008-0000-0700-00001278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603603" name="Add" hidden="1">
              <a:extLst>
                <a:ext uri="{63B3BB69-23CF-44E3-9099-C40C66FF867C}">
                  <a14:compatExt spid="_x0000_s1603603"/>
                </a:ext>
                <a:ext uri="{FF2B5EF4-FFF2-40B4-BE49-F238E27FC236}">
                  <a16:creationId xmlns:a16="http://schemas.microsoft.com/office/drawing/2014/main" id="{00000000-0008-0000-0700-00001378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7</xdr:col>
          <xdr:colOff>0</xdr:colOff>
          <xdr:row>6</xdr:row>
          <xdr:rowOff>19050</xdr:rowOff>
        </xdr:to>
        <xdr:sp macro="" textlink="">
          <xdr:nvSpPr>
            <xdr:cNvPr id="1603647" name="HideRelay1" hidden="1">
              <a:extLst>
                <a:ext uri="{63B3BB69-23CF-44E3-9099-C40C66FF867C}">
                  <a14:compatExt spid="_x0000_s1603647"/>
                </a:ext>
                <a:ext uri="{FF2B5EF4-FFF2-40B4-BE49-F238E27FC236}">
                  <a16:creationId xmlns:a16="http://schemas.microsoft.com/office/drawing/2014/main" id="{00000000-0008-0000-0700-00003F78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7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394C8D-8F80-43A3-98D4-1F32F5C81E07}"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604123" name="HideRelay1" hidden="1">
              <a:extLst>
                <a:ext uri="{63B3BB69-23CF-44E3-9099-C40C66FF867C}">
                  <a14:compatExt spid="_x0000_s1604123"/>
                </a:ext>
                <a:ext uri="{FF2B5EF4-FFF2-40B4-BE49-F238E27FC236}">
                  <a16:creationId xmlns:a16="http://schemas.microsoft.com/office/drawing/2014/main" id="{00000000-0008-0000-0700-00001B7A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604124" name="HideRelay1" hidden="1">
              <a:extLst>
                <a:ext uri="{63B3BB69-23CF-44E3-9099-C40C66FF867C}">
                  <a14:compatExt spid="_x0000_s1604124"/>
                </a:ext>
                <a:ext uri="{FF2B5EF4-FFF2-40B4-BE49-F238E27FC236}">
                  <a16:creationId xmlns:a16="http://schemas.microsoft.com/office/drawing/2014/main" id="{00000000-0008-0000-0700-00001C7A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604609" name="Relay1" hidden="1">
              <a:extLst>
                <a:ext uri="{63B3BB69-23CF-44E3-9099-C40C66FF867C}">
                  <a14:compatExt spid="_x0000_s1604609"/>
                </a:ext>
                <a:ext uri="{FF2B5EF4-FFF2-40B4-BE49-F238E27FC236}">
                  <a16:creationId xmlns:a16="http://schemas.microsoft.com/office/drawing/2014/main" id="{00000000-0008-0000-0800-000001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604610" name="Curve1" hidden="1">
              <a:extLst>
                <a:ext uri="{63B3BB69-23CF-44E3-9099-C40C66FF867C}">
                  <a14:compatExt spid="_x0000_s1604610"/>
                </a:ext>
                <a:ext uri="{FF2B5EF4-FFF2-40B4-BE49-F238E27FC236}">
                  <a16:creationId xmlns:a16="http://schemas.microsoft.com/office/drawing/2014/main" id="{00000000-0008-0000-0800-000002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604611" name="Upstream1" hidden="1">
              <a:extLst>
                <a:ext uri="{63B3BB69-23CF-44E3-9099-C40C66FF867C}">
                  <a14:compatExt spid="_x0000_s1604611"/>
                </a:ext>
                <a:ext uri="{FF2B5EF4-FFF2-40B4-BE49-F238E27FC236}">
                  <a16:creationId xmlns:a16="http://schemas.microsoft.com/office/drawing/2014/main" id="{00000000-0008-0000-0800-000003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9525</xdr:rowOff>
        </xdr:from>
        <xdr:to>
          <xdr:col>9</xdr:col>
          <xdr:colOff>0</xdr:colOff>
          <xdr:row>7</xdr:row>
          <xdr:rowOff>9525</xdr:rowOff>
        </xdr:to>
        <xdr:sp macro="" textlink="">
          <xdr:nvSpPr>
            <xdr:cNvPr id="1604613" name="Relay1Fault1" hidden="1">
              <a:extLst>
                <a:ext uri="{63B3BB69-23CF-44E3-9099-C40C66FF867C}">
                  <a14:compatExt spid="_x0000_s1604613"/>
                </a:ext>
                <a:ext uri="{FF2B5EF4-FFF2-40B4-BE49-F238E27FC236}">
                  <a16:creationId xmlns:a16="http://schemas.microsoft.com/office/drawing/2014/main" id="{00000000-0008-0000-0800-000005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604614" name="Relay1Fault2" hidden="1">
              <a:extLst>
                <a:ext uri="{63B3BB69-23CF-44E3-9099-C40C66FF867C}">
                  <a14:compatExt spid="_x0000_s1604614"/>
                </a:ext>
                <a:ext uri="{FF2B5EF4-FFF2-40B4-BE49-F238E27FC236}">
                  <a16:creationId xmlns:a16="http://schemas.microsoft.com/office/drawing/2014/main" id="{00000000-0008-0000-0800-000006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604615" name="Relay1Fault3" hidden="1">
              <a:extLst>
                <a:ext uri="{63B3BB69-23CF-44E3-9099-C40C66FF867C}">
                  <a14:compatExt spid="_x0000_s1604615"/>
                </a:ext>
                <a:ext uri="{FF2B5EF4-FFF2-40B4-BE49-F238E27FC236}">
                  <a16:creationId xmlns:a16="http://schemas.microsoft.com/office/drawing/2014/main" id="{00000000-0008-0000-0800-000007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604617" name="HideRelay1" hidden="1">
              <a:extLst>
                <a:ext uri="{63B3BB69-23CF-44E3-9099-C40C66FF867C}">
                  <a14:compatExt spid="_x0000_s1604617"/>
                </a:ext>
                <a:ext uri="{FF2B5EF4-FFF2-40B4-BE49-F238E27FC236}">
                  <a16:creationId xmlns:a16="http://schemas.microsoft.com/office/drawing/2014/main" id="{00000000-0008-0000-0800-0000097C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Relay5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604618" name="HideRelay1" hidden="1">
              <a:extLst>
                <a:ext uri="{63B3BB69-23CF-44E3-9099-C40C66FF867C}">
                  <a14:compatExt spid="_x0000_s1604618"/>
                </a:ext>
                <a:ext uri="{FF2B5EF4-FFF2-40B4-BE49-F238E27FC236}">
                  <a16:creationId xmlns:a16="http://schemas.microsoft.com/office/drawing/2014/main" id="{00000000-0008-0000-0800-00000A7C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604620" name="Setting Status" hidden="1">
              <a:extLst>
                <a:ext uri="{63B3BB69-23CF-44E3-9099-C40C66FF867C}">
                  <a14:compatExt spid="_x0000_s1604620"/>
                </a:ext>
                <a:ext uri="{FF2B5EF4-FFF2-40B4-BE49-F238E27FC236}">
                  <a16:creationId xmlns:a16="http://schemas.microsoft.com/office/drawing/2014/main" id="{00000000-0008-0000-0800-00000C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71289" name="Thumbnail5">
          <a:extLst>
            <a:ext uri="{FF2B5EF4-FFF2-40B4-BE49-F238E27FC236}">
              <a16:creationId xmlns:a16="http://schemas.microsoft.com/office/drawing/2014/main" id="{00000000-0008-0000-0800-000039CC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604622" name="Drop Down 14" hidden="1">
              <a:extLst>
                <a:ext uri="{63B3BB69-23CF-44E3-9099-C40C66FF867C}">
                  <a14:compatExt spid="_x0000_s1604622"/>
                </a:ext>
                <a:ext uri="{FF2B5EF4-FFF2-40B4-BE49-F238E27FC236}">
                  <a16:creationId xmlns:a16="http://schemas.microsoft.com/office/drawing/2014/main" id="{00000000-0008-0000-0800-00000E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604623" name="Relay1FaultB1" hidden="1">
              <a:extLst>
                <a:ext uri="{63B3BB69-23CF-44E3-9099-C40C66FF867C}">
                  <a14:compatExt spid="_x0000_s1604623"/>
                </a:ext>
                <a:ext uri="{FF2B5EF4-FFF2-40B4-BE49-F238E27FC236}">
                  <a16:creationId xmlns:a16="http://schemas.microsoft.com/office/drawing/2014/main" id="{00000000-0008-0000-0800-00000F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604624" name="Relay1FaultB2" hidden="1">
              <a:extLst>
                <a:ext uri="{63B3BB69-23CF-44E3-9099-C40C66FF867C}">
                  <a14:compatExt spid="_x0000_s1604624"/>
                </a:ext>
                <a:ext uri="{FF2B5EF4-FFF2-40B4-BE49-F238E27FC236}">
                  <a16:creationId xmlns:a16="http://schemas.microsoft.com/office/drawing/2014/main" id="{00000000-0008-0000-0800-000010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604625" name="Relay1FaultB3" hidden="1">
              <a:extLst>
                <a:ext uri="{63B3BB69-23CF-44E3-9099-C40C66FF867C}">
                  <a14:compatExt spid="_x0000_s1604625"/>
                </a:ext>
                <a:ext uri="{FF2B5EF4-FFF2-40B4-BE49-F238E27FC236}">
                  <a16:creationId xmlns:a16="http://schemas.microsoft.com/office/drawing/2014/main" id="{00000000-0008-0000-0800-0000117C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604626" name="Add" hidden="1">
              <a:extLst>
                <a:ext uri="{63B3BB69-23CF-44E3-9099-C40C66FF867C}">
                  <a14:compatExt spid="_x0000_s1604626"/>
                </a:ext>
                <a:ext uri="{FF2B5EF4-FFF2-40B4-BE49-F238E27FC236}">
                  <a16:creationId xmlns:a16="http://schemas.microsoft.com/office/drawing/2014/main" id="{00000000-0008-0000-0800-0000127C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604627" name="Add" hidden="1">
              <a:extLst>
                <a:ext uri="{63B3BB69-23CF-44E3-9099-C40C66FF867C}">
                  <a14:compatExt spid="_x0000_s1604627"/>
                </a:ext>
                <a:ext uri="{FF2B5EF4-FFF2-40B4-BE49-F238E27FC236}">
                  <a16:creationId xmlns:a16="http://schemas.microsoft.com/office/drawing/2014/main" id="{00000000-0008-0000-0800-0000137C18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604671" name="HideRelay1" hidden="1">
              <a:extLst>
                <a:ext uri="{63B3BB69-23CF-44E3-9099-C40C66FF867C}">
                  <a14:compatExt spid="_x0000_s1604671"/>
                </a:ext>
                <a:ext uri="{FF2B5EF4-FFF2-40B4-BE49-F238E27FC236}">
                  <a16:creationId xmlns:a16="http://schemas.microsoft.com/office/drawing/2014/main" id="{00000000-0008-0000-0800-00003F7C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8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C0AD38-4A97-4F30-B00B-4CBCBEEB7E03}"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605147" name="HideRelay1" hidden="1">
              <a:extLst>
                <a:ext uri="{63B3BB69-23CF-44E3-9099-C40C66FF867C}">
                  <a14:compatExt spid="_x0000_s1605147"/>
                </a:ext>
                <a:ext uri="{FF2B5EF4-FFF2-40B4-BE49-F238E27FC236}">
                  <a16:creationId xmlns:a16="http://schemas.microsoft.com/office/drawing/2014/main" id="{00000000-0008-0000-0800-00001B7E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605148" name="HideRelay1" hidden="1">
              <a:extLst>
                <a:ext uri="{63B3BB69-23CF-44E3-9099-C40C66FF867C}">
                  <a14:compatExt spid="_x0000_s1605148"/>
                </a:ext>
                <a:ext uri="{FF2B5EF4-FFF2-40B4-BE49-F238E27FC236}">
                  <a16:creationId xmlns:a16="http://schemas.microsoft.com/office/drawing/2014/main" id="{00000000-0008-0000-0800-00001C7E18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937409" name="Relay1" hidden="1">
              <a:extLst>
                <a:ext uri="{63B3BB69-23CF-44E3-9099-C40C66FF867C}">
                  <a14:compatExt spid="_x0000_s1937409"/>
                </a:ext>
                <a:ext uri="{FF2B5EF4-FFF2-40B4-BE49-F238E27FC236}">
                  <a16:creationId xmlns:a16="http://schemas.microsoft.com/office/drawing/2014/main" id="{00000000-0008-0000-0900-000001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937410" name="Curve1" hidden="1">
              <a:extLst>
                <a:ext uri="{63B3BB69-23CF-44E3-9099-C40C66FF867C}">
                  <a14:compatExt spid="_x0000_s1937410"/>
                </a:ext>
                <a:ext uri="{FF2B5EF4-FFF2-40B4-BE49-F238E27FC236}">
                  <a16:creationId xmlns:a16="http://schemas.microsoft.com/office/drawing/2014/main" id="{00000000-0008-0000-0900-000002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937411" name="Upstream1" hidden="1">
              <a:extLst>
                <a:ext uri="{63B3BB69-23CF-44E3-9099-C40C66FF867C}">
                  <a14:compatExt spid="_x0000_s1937411"/>
                </a:ext>
                <a:ext uri="{FF2B5EF4-FFF2-40B4-BE49-F238E27FC236}">
                  <a16:creationId xmlns:a16="http://schemas.microsoft.com/office/drawing/2014/main" id="{00000000-0008-0000-0900-000003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937413" name="Relay1Fault1" hidden="1">
              <a:extLst>
                <a:ext uri="{63B3BB69-23CF-44E3-9099-C40C66FF867C}">
                  <a14:compatExt spid="_x0000_s1937413"/>
                </a:ext>
                <a:ext uri="{FF2B5EF4-FFF2-40B4-BE49-F238E27FC236}">
                  <a16:creationId xmlns:a16="http://schemas.microsoft.com/office/drawing/2014/main" id="{00000000-0008-0000-0900-000005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937414" name="Relay1Fault2" hidden="1">
              <a:extLst>
                <a:ext uri="{63B3BB69-23CF-44E3-9099-C40C66FF867C}">
                  <a14:compatExt spid="_x0000_s1937414"/>
                </a:ext>
                <a:ext uri="{FF2B5EF4-FFF2-40B4-BE49-F238E27FC236}">
                  <a16:creationId xmlns:a16="http://schemas.microsoft.com/office/drawing/2014/main" id="{00000000-0008-0000-0900-000006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937415" name="Relay1Fault3" hidden="1">
              <a:extLst>
                <a:ext uri="{63B3BB69-23CF-44E3-9099-C40C66FF867C}">
                  <a14:compatExt spid="_x0000_s1937415"/>
                </a:ext>
                <a:ext uri="{FF2B5EF4-FFF2-40B4-BE49-F238E27FC236}">
                  <a16:creationId xmlns:a16="http://schemas.microsoft.com/office/drawing/2014/main" id="{00000000-0008-0000-0900-000007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937417" name="HideRelay1" hidden="1">
              <a:extLst>
                <a:ext uri="{63B3BB69-23CF-44E3-9099-C40C66FF867C}">
                  <a14:compatExt spid="_x0000_s1937417"/>
                </a:ext>
                <a:ext uri="{FF2B5EF4-FFF2-40B4-BE49-F238E27FC236}">
                  <a16:creationId xmlns:a16="http://schemas.microsoft.com/office/drawing/2014/main" id="{00000000-0008-0000-0900-0000099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Relay6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937418" name="HideRelay1" hidden="1">
              <a:extLst>
                <a:ext uri="{63B3BB69-23CF-44E3-9099-C40C66FF867C}">
                  <a14:compatExt spid="_x0000_s1937418"/>
                </a:ext>
                <a:ext uri="{FF2B5EF4-FFF2-40B4-BE49-F238E27FC236}">
                  <a16:creationId xmlns:a16="http://schemas.microsoft.com/office/drawing/2014/main" id="{00000000-0008-0000-0900-00000A9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937420" name="Setting Status" hidden="1">
              <a:extLst>
                <a:ext uri="{63B3BB69-23CF-44E3-9099-C40C66FF867C}">
                  <a14:compatExt spid="_x0000_s1937420"/>
                </a:ext>
                <a:ext uri="{FF2B5EF4-FFF2-40B4-BE49-F238E27FC236}">
                  <a16:creationId xmlns:a16="http://schemas.microsoft.com/office/drawing/2014/main" id="{00000000-0008-0000-0900-00000C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73337" name="Thumbnail6">
          <a:extLst>
            <a:ext uri="{FF2B5EF4-FFF2-40B4-BE49-F238E27FC236}">
              <a16:creationId xmlns:a16="http://schemas.microsoft.com/office/drawing/2014/main" id="{00000000-0008-0000-0900-000039D4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937422" name="Drop Down 14" hidden="1">
              <a:extLst>
                <a:ext uri="{63B3BB69-23CF-44E3-9099-C40C66FF867C}">
                  <a14:compatExt spid="_x0000_s1937422"/>
                </a:ext>
                <a:ext uri="{FF2B5EF4-FFF2-40B4-BE49-F238E27FC236}">
                  <a16:creationId xmlns:a16="http://schemas.microsoft.com/office/drawing/2014/main" id="{00000000-0008-0000-0900-00000E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937423" name="Relay1FaultB1" hidden="1">
              <a:extLst>
                <a:ext uri="{63B3BB69-23CF-44E3-9099-C40C66FF867C}">
                  <a14:compatExt spid="_x0000_s1937423"/>
                </a:ext>
                <a:ext uri="{FF2B5EF4-FFF2-40B4-BE49-F238E27FC236}">
                  <a16:creationId xmlns:a16="http://schemas.microsoft.com/office/drawing/2014/main" id="{00000000-0008-0000-0900-00000F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937424" name="Relay1FaultB2" hidden="1">
              <a:extLst>
                <a:ext uri="{63B3BB69-23CF-44E3-9099-C40C66FF867C}">
                  <a14:compatExt spid="_x0000_s1937424"/>
                </a:ext>
                <a:ext uri="{FF2B5EF4-FFF2-40B4-BE49-F238E27FC236}">
                  <a16:creationId xmlns:a16="http://schemas.microsoft.com/office/drawing/2014/main" id="{00000000-0008-0000-0900-000010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937425" name="Relay1FaultB3" hidden="1">
              <a:extLst>
                <a:ext uri="{63B3BB69-23CF-44E3-9099-C40C66FF867C}">
                  <a14:compatExt spid="_x0000_s1937425"/>
                </a:ext>
                <a:ext uri="{FF2B5EF4-FFF2-40B4-BE49-F238E27FC236}">
                  <a16:creationId xmlns:a16="http://schemas.microsoft.com/office/drawing/2014/main" id="{00000000-0008-0000-0900-0000119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937426" name="Add" hidden="1">
              <a:extLst>
                <a:ext uri="{63B3BB69-23CF-44E3-9099-C40C66FF867C}">
                  <a14:compatExt spid="_x0000_s1937426"/>
                </a:ext>
                <a:ext uri="{FF2B5EF4-FFF2-40B4-BE49-F238E27FC236}">
                  <a16:creationId xmlns:a16="http://schemas.microsoft.com/office/drawing/2014/main" id="{00000000-0008-0000-0900-00001290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937427" name="Add" hidden="1">
              <a:extLst>
                <a:ext uri="{63B3BB69-23CF-44E3-9099-C40C66FF867C}">
                  <a14:compatExt spid="_x0000_s1937427"/>
                </a:ext>
                <a:ext uri="{FF2B5EF4-FFF2-40B4-BE49-F238E27FC236}">
                  <a16:creationId xmlns:a16="http://schemas.microsoft.com/office/drawing/2014/main" id="{00000000-0008-0000-0900-00001390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937471" name="HideRelay1" hidden="1">
              <a:extLst>
                <a:ext uri="{63B3BB69-23CF-44E3-9099-C40C66FF867C}">
                  <a14:compatExt spid="_x0000_s1937471"/>
                </a:ext>
                <a:ext uri="{FF2B5EF4-FFF2-40B4-BE49-F238E27FC236}">
                  <a16:creationId xmlns:a16="http://schemas.microsoft.com/office/drawing/2014/main" id="{00000000-0008-0000-0900-00003F9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9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53554F-9423-4D13-9305-5321BCD2D7EE}"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937947" name="HideRelay1" hidden="1">
              <a:extLst>
                <a:ext uri="{63B3BB69-23CF-44E3-9099-C40C66FF867C}">
                  <a14:compatExt spid="_x0000_s1937947"/>
                </a:ext>
                <a:ext uri="{FF2B5EF4-FFF2-40B4-BE49-F238E27FC236}">
                  <a16:creationId xmlns:a16="http://schemas.microsoft.com/office/drawing/2014/main" id="{00000000-0008-0000-0900-00001B92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937948" name="HideRelay1" hidden="1">
              <a:extLst>
                <a:ext uri="{63B3BB69-23CF-44E3-9099-C40C66FF867C}">
                  <a14:compatExt spid="_x0000_s1937948"/>
                </a:ext>
                <a:ext uri="{FF2B5EF4-FFF2-40B4-BE49-F238E27FC236}">
                  <a16:creationId xmlns:a16="http://schemas.microsoft.com/office/drawing/2014/main" id="{00000000-0008-0000-0900-00001C92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938433" name="Relay1" hidden="1">
              <a:extLst>
                <a:ext uri="{63B3BB69-23CF-44E3-9099-C40C66FF867C}">
                  <a14:compatExt spid="_x0000_s1938433"/>
                </a:ext>
                <a:ext uri="{FF2B5EF4-FFF2-40B4-BE49-F238E27FC236}">
                  <a16:creationId xmlns:a16="http://schemas.microsoft.com/office/drawing/2014/main" id="{00000000-0008-0000-0A00-000001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938434" name="Curve1" hidden="1">
              <a:extLst>
                <a:ext uri="{63B3BB69-23CF-44E3-9099-C40C66FF867C}">
                  <a14:compatExt spid="_x0000_s1938434"/>
                </a:ext>
                <a:ext uri="{FF2B5EF4-FFF2-40B4-BE49-F238E27FC236}">
                  <a16:creationId xmlns:a16="http://schemas.microsoft.com/office/drawing/2014/main" id="{00000000-0008-0000-0A00-000002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938435" name="Upstream1" hidden="1">
              <a:extLst>
                <a:ext uri="{63B3BB69-23CF-44E3-9099-C40C66FF867C}">
                  <a14:compatExt spid="_x0000_s1938435"/>
                </a:ext>
                <a:ext uri="{FF2B5EF4-FFF2-40B4-BE49-F238E27FC236}">
                  <a16:creationId xmlns:a16="http://schemas.microsoft.com/office/drawing/2014/main" id="{00000000-0008-0000-0A00-000003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938437" name="Relay1Fault1" hidden="1">
              <a:extLst>
                <a:ext uri="{63B3BB69-23CF-44E3-9099-C40C66FF867C}">
                  <a14:compatExt spid="_x0000_s1938437"/>
                </a:ext>
                <a:ext uri="{FF2B5EF4-FFF2-40B4-BE49-F238E27FC236}">
                  <a16:creationId xmlns:a16="http://schemas.microsoft.com/office/drawing/2014/main" id="{00000000-0008-0000-0A00-000005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938438" name="Relay1Fault2" hidden="1">
              <a:extLst>
                <a:ext uri="{63B3BB69-23CF-44E3-9099-C40C66FF867C}">
                  <a14:compatExt spid="_x0000_s1938438"/>
                </a:ext>
                <a:ext uri="{FF2B5EF4-FFF2-40B4-BE49-F238E27FC236}">
                  <a16:creationId xmlns:a16="http://schemas.microsoft.com/office/drawing/2014/main" id="{00000000-0008-0000-0A00-000006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938439" name="Relay1Fault3" hidden="1">
              <a:extLst>
                <a:ext uri="{63B3BB69-23CF-44E3-9099-C40C66FF867C}">
                  <a14:compatExt spid="_x0000_s1938439"/>
                </a:ext>
                <a:ext uri="{FF2B5EF4-FFF2-40B4-BE49-F238E27FC236}">
                  <a16:creationId xmlns:a16="http://schemas.microsoft.com/office/drawing/2014/main" id="{00000000-0008-0000-0A00-000007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938441" name="HideRelay1" hidden="1">
              <a:extLst>
                <a:ext uri="{63B3BB69-23CF-44E3-9099-C40C66FF867C}">
                  <a14:compatExt spid="_x0000_s1938441"/>
                </a:ext>
                <a:ext uri="{FF2B5EF4-FFF2-40B4-BE49-F238E27FC236}">
                  <a16:creationId xmlns:a16="http://schemas.microsoft.com/office/drawing/2014/main" id="{00000000-0008-0000-0A00-00000994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Relay7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938442" name="HideRelay1" hidden="1">
              <a:extLst>
                <a:ext uri="{63B3BB69-23CF-44E3-9099-C40C66FF867C}">
                  <a14:compatExt spid="_x0000_s1938442"/>
                </a:ext>
                <a:ext uri="{FF2B5EF4-FFF2-40B4-BE49-F238E27FC236}">
                  <a16:creationId xmlns:a16="http://schemas.microsoft.com/office/drawing/2014/main" id="{00000000-0008-0000-0A00-00000A94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938444" name="Setting Status" hidden="1">
              <a:extLst>
                <a:ext uri="{63B3BB69-23CF-44E3-9099-C40C66FF867C}">
                  <a14:compatExt spid="_x0000_s1938444"/>
                </a:ext>
                <a:ext uri="{FF2B5EF4-FFF2-40B4-BE49-F238E27FC236}">
                  <a16:creationId xmlns:a16="http://schemas.microsoft.com/office/drawing/2014/main" id="{00000000-0008-0000-0A00-00000C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75385" name="Thumbnail7">
          <a:extLst>
            <a:ext uri="{FF2B5EF4-FFF2-40B4-BE49-F238E27FC236}">
              <a16:creationId xmlns:a16="http://schemas.microsoft.com/office/drawing/2014/main" id="{00000000-0008-0000-0A00-000039DC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938446" name="Drop Down 14" hidden="1">
              <a:extLst>
                <a:ext uri="{63B3BB69-23CF-44E3-9099-C40C66FF867C}">
                  <a14:compatExt spid="_x0000_s1938446"/>
                </a:ext>
                <a:ext uri="{FF2B5EF4-FFF2-40B4-BE49-F238E27FC236}">
                  <a16:creationId xmlns:a16="http://schemas.microsoft.com/office/drawing/2014/main" id="{00000000-0008-0000-0A00-00000E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938447" name="Relay1FaultB1" hidden="1">
              <a:extLst>
                <a:ext uri="{63B3BB69-23CF-44E3-9099-C40C66FF867C}">
                  <a14:compatExt spid="_x0000_s1938447"/>
                </a:ext>
                <a:ext uri="{FF2B5EF4-FFF2-40B4-BE49-F238E27FC236}">
                  <a16:creationId xmlns:a16="http://schemas.microsoft.com/office/drawing/2014/main" id="{00000000-0008-0000-0A00-00000F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938448" name="Relay1FaultB2" hidden="1">
              <a:extLst>
                <a:ext uri="{63B3BB69-23CF-44E3-9099-C40C66FF867C}">
                  <a14:compatExt spid="_x0000_s1938448"/>
                </a:ext>
                <a:ext uri="{FF2B5EF4-FFF2-40B4-BE49-F238E27FC236}">
                  <a16:creationId xmlns:a16="http://schemas.microsoft.com/office/drawing/2014/main" id="{00000000-0008-0000-0A00-000010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938449" name="Relay1FaultB3" hidden="1">
              <a:extLst>
                <a:ext uri="{63B3BB69-23CF-44E3-9099-C40C66FF867C}">
                  <a14:compatExt spid="_x0000_s1938449"/>
                </a:ext>
                <a:ext uri="{FF2B5EF4-FFF2-40B4-BE49-F238E27FC236}">
                  <a16:creationId xmlns:a16="http://schemas.microsoft.com/office/drawing/2014/main" id="{00000000-0008-0000-0A00-00001194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938450" name="Add" hidden="1">
              <a:extLst>
                <a:ext uri="{63B3BB69-23CF-44E3-9099-C40C66FF867C}">
                  <a14:compatExt spid="_x0000_s1938450"/>
                </a:ext>
                <a:ext uri="{FF2B5EF4-FFF2-40B4-BE49-F238E27FC236}">
                  <a16:creationId xmlns:a16="http://schemas.microsoft.com/office/drawing/2014/main" id="{00000000-0008-0000-0A00-00001294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938451" name="Add" hidden="1">
              <a:extLst>
                <a:ext uri="{63B3BB69-23CF-44E3-9099-C40C66FF867C}">
                  <a14:compatExt spid="_x0000_s1938451"/>
                </a:ext>
                <a:ext uri="{FF2B5EF4-FFF2-40B4-BE49-F238E27FC236}">
                  <a16:creationId xmlns:a16="http://schemas.microsoft.com/office/drawing/2014/main" id="{00000000-0008-0000-0A00-00001394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938495" name="HideRelay1" hidden="1">
              <a:extLst>
                <a:ext uri="{63B3BB69-23CF-44E3-9099-C40C66FF867C}">
                  <a14:compatExt spid="_x0000_s1938495"/>
                </a:ext>
                <a:ext uri="{FF2B5EF4-FFF2-40B4-BE49-F238E27FC236}">
                  <a16:creationId xmlns:a16="http://schemas.microsoft.com/office/drawing/2014/main" id="{00000000-0008-0000-0A00-00003F94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A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7848CC-3534-43E3-822F-613193250B0C}"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938971" name="HideRelay1" hidden="1">
              <a:extLst>
                <a:ext uri="{63B3BB69-23CF-44E3-9099-C40C66FF867C}">
                  <a14:compatExt spid="_x0000_s1938971"/>
                </a:ext>
                <a:ext uri="{FF2B5EF4-FFF2-40B4-BE49-F238E27FC236}">
                  <a16:creationId xmlns:a16="http://schemas.microsoft.com/office/drawing/2014/main" id="{00000000-0008-0000-0A00-00001B96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938972" name="HideRelay1" hidden="1">
              <a:extLst>
                <a:ext uri="{63B3BB69-23CF-44E3-9099-C40C66FF867C}">
                  <a14:compatExt spid="_x0000_s1938972"/>
                </a:ext>
                <a:ext uri="{FF2B5EF4-FFF2-40B4-BE49-F238E27FC236}">
                  <a16:creationId xmlns:a16="http://schemas.microsoft.com/office/drawing/2014/main" id="{00000000-0008-0000-0A00-00001C96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939457" name="Relay1" hidden="1">
              <a:extLst>
                <a:ext uri="{63B3BB69-23CF-44E3-9099-C40C66FF867C}">
                  <a14:compatExt spid="_x0000_s1939457"/>
                </a:ext>
                <a:ext uri="{FF2B5EF4-FFF2-40B4-BE49-F238E27FC236}">
                  <a16:creationId xmlns:a16="http://schemas.microsoft.com/office/drawing/2014/main" id="{00000000-0008-0000-0B00-000001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939458" name="Curve1" hidden="1">
              <a:extLst>
                <a:ext uri="{63B3BB69-23CF-44E3-9099-C40C66FF867C}">
                  <a14:compatExt spid="_x0000_s1939458"/>
                </a:ext>
                <a:ext uri="{FF2B5EF4-FFF2-40B4-BE49-F238E27FC236}">
                  <a16:creationId xmlns:a16="http://schemas.microsoft.com/office/drawing/2014/main" id="{00000000-0008-0000-0B00-000002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939459" name="Upstream1" hidden="1">
              <a:extLst>
                <a:ext uri="{63B3BB69-23CF-44E3-9099-C40C66FF867C}">
                  <a14:compatExt spid="_x0000_s1939459"/>
                </a:ext>
                <a:ext uri="{FF2B5EF4-FFF2-40B4-BE49-F238E27FC236}">
                  <a16:creationId xmlns:a16="http://schemas.microsoft.com/office/drawing/2014/main" id="{00000000-0008-0000-0B00-000003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939461" name="Relay1Fault1" hidden="1">
              <a:extLst>
                <a:ext uri="{63B3BB69-23CF-44E3-9099-C40C66FF867C}">
                  <a14:compatExt spid="_x0000_s1939461"/>
                </a:ext>
                <a:ext uri="{FF2B5EF4-FFF2-40B4-BE49-F238E27FC236}">
                  <a16:creationId xmlns:a16="http://schemas.microsoft.com/office/drawing/2014/main" id="{00000000-0008-0000-0B00-000005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939462" name="Relay1Fault2" hidden="1">
              <a:extLst>
                <a:ext uri="{63B3BB69-23CF-44E3-9099-C40C66FF867C}">
                  <a14:compatExt spid="_x0000_s1939462"/>
                </a:ext>
                <a:ext uri="{FF2B5EF4-FFF2-40B4-BE49-F238E27FC236}">
                  <a16:creationId xmlns:a16="http://schemas.microsoft.com/office/drawing/2014/main" id="{00000000-0008-0000-0B00-000006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939463" name="Relay1Fault3" hidden="1">
              <a:extLst>
                <a:ext uri="{63B3BB69-23CF-44E3-9099-C40C66FF867C}">
                  <a14:compatExt spid="_x0000_s1939463"/>
                </a:ext>
                <a:ext uri="{FF2B5EF4-FFF2-40B4-BE49-F238E27FC236}">
                  <a16:creationId xmlns:a16="http://schemas.microsoft.com/office/drawing/2014/main" id="{00000000-0008-0000-0B00-000007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939465" name="HideRelay1" hidden="1">
              <a:extLst>
                <a:ext uri="{63B3BB69-23CF-44E3-9099-C40C66FF867C}">
                  <a14:compatExt spid="_x0000_s1939465"/>
                </a:ext>
                <a:ext uri="{FF2B5EF4-FFF2-40B4-BE49-F238E27FC236}">
                  <a16:creationId xmlns:a16="http://schemas.microsoft.com/office/drawing/2014/main" id="{00000000-0008-0000-0B00-00000998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Relay8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939466" name="HideRelay1" hidden="1">
              <a:extLst>
                <a:ext uri="{63B3BB69-23CF-44E3-9099-C40C66FF867C}">
                  <a14:compatExt spid="_x0000_s1939466"/>
                </a:ext>
                <a:ext uri="{FF2B5EF4-FFF2-40B4-BE49-F238E27FC236}">
                  <a16:creationId xmlns:a16="http://schemas.microsoft.com/office/drawing/2014/main" id="{00000000-0008-0000-0B00-00000A98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939468" name="Setting Status" hidden="1">
              <a:extLst>
                <a:ext uri="{63B3BB69-23CF-44E3-9099-C40C66FF867C}">
                  <a14:compatExt spid="_x0000_s1939468"/>
                </a:ext>
                <a:ext uri="{FF2B5EF4-FFF2-40B4-BE49-F238E27FC236}">
                  <a16:creationId xmlns:a16="http://schemas.microsoft.com/office/drawing/2014/main" id="{00000000-0008-0000-0B00-00000C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77433" name="Thumbnail8">
          <a:extLst>
            <a:ext uri="{FF2B5EF4-FFF2-40B4-BE49-F238E27FC236}">
              <a16:creationId xmlns:a16="http://schemas.microsoft.com/office/drawing/2014/main" id="{00000000-0008-0000-0B00-000039E4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939470" name="Drop Down 14" hidden="1">
              <a:extLst>
                <a:ext uri="{63B3BB69-23CF-44E3-9099-C40C66FF867C}">
                  <a14:compatExt spid="_x0000_s1939470"/>
                </a:ext>
                <a:ext uri="{FF2B5EF4-FFF2-40B4-BE49-F238E27FC236}">
                  <a16:creationId xmlns:a16="http://schemas.microsoft.com/office/drawing/2014/main" id="{00000000-0008-0000-0B00-00000E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939471" name="Relay1FaultB1" hidden="1">
              <a:extLst>
                <a:ext uri="{63B3BB69-23CF-44E3-9099-C40C66FF867C}">
                  <a14:compatExt spid="_x0000_s1939471"/>
                </a:ext>
                <a:ext uri="{FF2B5EF4-FFF2-40B4-BE49-F238E27FC236}">
                  <a16:creationId xmlns:a16="http://schemas.microsoft.com/office/drawing/2014/main" id="{00000000-0008-0000-0B00-00000F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939472" name="Relay1FaultB2" hidden="1">
              <a:extLst>
                <a:ext uri="{63B3BB69-23CF-44E3-9099-C40C66FF867C}">
                  <a14:compatExt spid="_x0000_s1939472"/>
                </a:ext>
                <a:ext uri="{FF2B5EF4-FFF2-40B4-BE49-F238E27FC236}">
                  <a16:creationId xmlns:a16="http://schemas.microsoft.com/office/drawing/2014/main" id="{00000000-0008-0000-0B00-000010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939473" name="Relay1FaultB3" hidden="1">
              <a:extLst>
                <a:ext uri="{63B3BB69-23CF-44E3-9099-C40C66FF867C}">
                  <a14:compatExt spid="_x0000_s1939473"/>
                </a:ext>
                <a:ext uri="{FF2B5EF4-FFF2-40B4-BE49-F238E27FC236}">
                  <a16:creationId xmlns:a16="http://schemas.microsoft.com/office/drawing/2014/main" id="{00000000-0008-0000-0B00-00001198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939474" name="Add" hidden="1">
              <a:extLst>
                <a:ext uri="{63B3BB69-23CF-44E3-9099-C40C66FF867C}">
                  <a14:compatExt spid="_x0000_s1939474"/>
                </a:ext>
                <a:ext uri="{FF2B5EF4-FFF2-40B4-BE49-F238E27FC236}">
                  <a16:creationId xmlns:a16="http://schemas.microsoft.com/office/drawing/2014/main" id="{00000000-0008-0000-0B00-00001298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939475" name="Add" hidden="1">
              <a:extLst>
                <a:ext uri="{63B3BB69-23CF-44E3-9099-C40C66FF867C}">
                  <a14:compatExt spid="_x0000_s1939475"/>
                </a:ext>
                <a:ext uri="{FF2B5EF4-FFF2-40B4-BE49-F238E27FC236}">
                  <a16:creationId xmlns:a16="http://schemas.microsoft.com/office/drawing/2014/main" id="{00000000-0008-0000-0B00-00001398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939519" name="HideRelay1" hidden="1">
              <a:extLst>
                <a:ext uri="{63B3BB69-23CF-44E3-9099-C40C66FF867C}">
                  <a14:compatExt spid="_x0000_s1939519"/>
                </a:ext>
                <a:ext uri="{FF2B5EF4-FFF2-40B4-BE49-F238E27FC236}">
                  <a16:creationId xmlns:a16="http://schemas.microsoft.com/office/drawing/2014/main" id="{00000000-0008-0000-0B00-00003F98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B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3B8A46-EF54-4B5E-9667-58E708FB30C8}"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939995" name="HideRelay1" hidden="1">
              <a:extLst>
                <a:ext uri="{63B3BB69-23CF-44E3-9099-C40C66FF867C}">
                  <a14:compatExt spid="_x0000_s1939995"/>
                </a:ext>
                <a:ext uri="{FF2B5EF4-FFF2-40B4-BE49-F238E27FC236}">
                  <a16:creationId xmlns:a16="http://schemas.microsoft.com/office/drawing/2014/main" id="{00000000-0008-0000-0B00-00001B9A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939996" name="HideRelay1" hidden="1">
              <a:extLst>
                <a:ext uri="{63B3BB69-23CF-44E3-9099-C40C66FF867C}">
                  <a14:compatExt spid="_x0000_s1939996"/>
                </a:ext>
                <a:ext uri="{FF2B5EF4-FFF2-40B4-BE49-F238E27FC236}">
                  <a16:creationId xmlns:a16="http://schemas.microsoft.com/office/drawing/2014/main" id="{00000000-0008-0000-0B00-00001C9A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940481" name="Relay1" hidden="1">
              <a:extLst>
                <a:ext uri="{63B3BB69-23CF-44E3-9099-C40C66FF867C}">
                  <a14:compatExt spid="_x0000_s1940481"/>
                </a:ext>
                <a:ext uri="{FF2B5EF4-FFF2-40B4-BE49-F238E27FC236}">
                  <a16:creationId xmlns:a16="http://schemas.microsoft.com/office/drawing/2014/main" id="{00000000-0008-0000-0C00-000001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940482" name="Curve1" hidden="1">
              <a:extLst>
                <a:ext uri="{63B3BB69-23CF-44E3-9099-C40C66FF867C}">
                  <a14:compatExt spid="_x0000_s1940482"/>
                </a:ext>
                <a:ext uri="{FF2B5EF4-FFF2-40B4-BE49-F238E27FC236}">
                  <a16:creationId xmlns:a16="http://schemas.microsoft.com/office/drawing/2014/main" id="{00000000-0008-0000-0C00-000002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940483" name="Upstream1" hidden="1">
              <a:extLst>
                <a:ext uri="{63B3BB69-23CF-44E3-9099-C40C66FF867C}">
                  <a14:compatExt spid="_x0000_s1940483"/>
                </a:ext>
                <a:ext uri="{FF2B5EF4-FFF2-40B4-BE49-F238E27FC236}">
                  <a16:creationId xmlns:a16="http://schemas.microsoft.com/office/drawing/2014/main" id="{00000000-0008-0000-0C00-000003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940485" name="Relay1Fault1" hidden="1">
              <a:extLst>
                <a:ext uri="{63B3BB69-23CF-44E3-9099-C40C66FF867C}">
                  <a14:compatExt spid="_x0000_s1940485"/>
                </a:ext>
                <a:ext uri="{FF2B5EF4-FFF2-40B4-BE49-F238E27FC236}">
                  <a16:creationId xmlns:a16="http://schemas.microsoft.com/office/drawing/2014/main" id="{00000000-0008-0000-0C00-000005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940486" name="Relay1Fault2" hidden="1">
              <a:extLst>
                <a:ext uri="{63B3BB69-23CF-44E3-9099-C40C66FF867C}">
                  <a14:compatExt spid="_x0000_s1940486"/>
                </a:ext>
                <a:ext uri="{FF2B5EF4-FFF2-40B4-BE49-F238E27FC236}">
                  <a16:creationId xmlns:a16="http://schemas.microsoft.com/office/drawing/2014/main" id="{00000000-0008-0000-0C00-000006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940487" name="Relay1Fault3" hidden="1">
              <a:extLst>
                <a:ext uri="{63B3BB69-23CF-44E3-9099-C40C66FF867C}">
                  <a14:compatExt spid="_x0000_s1940487"/>
                </a:ext>
                <a:ext uri="{FF2B5EF4-FFF2-40B4-BE49-F238E27FC236}">
                  <a16:creationId xmlns:a16="http://schemas.microsoft.com/office/drawing/2014/main" id="{00000000-0008-0000-0C00-000007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940489" name="HideRelay1" hidden="1">
              <a:extLst>
                <a:ext uri="{63B3BB69-23CF-44E3-9099-C40C66FF867C}">
                  <a14:compatExt spid="_x0000_s1940489"/>
                </a:ext>
                <a:ext uri="{FF2B5EF4-FFF2-40B4-BE49-F238E27FC236}">
                  <a16:creationId xmlns:a16="http://schemas.microsoft.com/office/drawing/2014/main" id="{00000000-0008-0000-0C00-0000099C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Relay9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940490" name="HideRelay1" hidden="1">
              <a:extLst>
                <a:ext uri="{63B3BB69-23CF-44E3-9099-C40C66FF867C}">
                  <a14:compatExt spid="_x0000_s1940490"/>
                </a:ext>
                <a:ext uri="{FF2B5EF4-FFF2-40B4-BE49-F238E27FC236}">
                  <a16:creationId xmlns:a16="http://schemas.microsoft.com/office/drawing/2014/main" id="{00000000-0008-0000-0C00-00000A9C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940492" name="Setting Status" hidden="1">
              <a:extLst>
                <a:ext uri="{63B3BB69-23CF-44E3-9099-C40C66FF867C}">
                  <a14:compatExt spid="_x0000_s1940492"/>
                </a:ext>
                <a:ext uri="{FF2B5EF4-FFF2-40B4-BE49-F238E27FC236}">
                  <a16:creationId xmlns:a16="http://schemas.microsoft.com/office/drawing/2014/main" id="{00000000-0008-0000-0C00-00000C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79481" name="Thumbnail9">
          <a:extLst>
            <a:ext uri="{FF2B5EF4-FFF2-40B4-BE49-F238E27FC236}">
              <a16:creationId xmlns:a16="http://schemas.microsoft.com/office/drawing/2014/main" id="{00000000-0008-0000-0C00-000039EC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940494" name="Drop Down 14" hidden="1">
              <a:extLst>
                <a:ext uri="{63B3BB69-23CF-44E3-9099-C40C66FF867C}">
                  <a14:compatExt spid="_x0000_s1940494"/>
                </a:ext>
                <a:ext uri="{FF2B5EF4-FFF2-40B4-BE49-F238E27FC236}">
                  <a16:creationId xmlns:a16="http://schemas.microsoft.com/office/drawing/2014/main" id="{00000000-0008-0000-0C00-00000E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940495" name="Relay1FaultB1" hidden="1">
              <a:extLst>
                <a:ext uri="{63B3BB69-23CF-44E3-9099-C40C66FF867C}">
                  <a14:compatExt spid="_x0000_s1940495"/>
                </a:ext>
                <a:ext uri="{FF2B5EF4-FFF2-40B4-BE49-F238E27FC236}">
                  <a16:creationId xmlns:a16="http://schemas.microsoft.com/office/drawing/2014/main" id="{00000000-0008-0000-0C00-00000F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940496" name="Relay1FaultB2" hidden="1">
              <a:extLst>
                <a:ext uri="{63B3BB69-23CF-44E3-9099-C40C66FF867C}">
                  <a14:compatExt spid="_x0000_s1940496"/>
                </a:ext>
                <a:ext uri="{FF2B5EF4-FFF2-40B4-BE49-F238E27FC236}">
                  <a16:creationId xmlns:a16="http://schemas.microsoft.com/office/drawing/2014/main" id="{00000000-0008-0000-0C00-000010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940497" name="Relay1FaultB3" hidden="1">
              <a:extLst>
                <a:ext uri="{63B3BB69-23CF-44E3-9099-C40C66FF867C}">
                  <a14:compatExt spid="_x0000_s1940497"/>
                </a:ext>
                <a:ext uri="{FF2B5EF4-FFF2-40B4-BE49-F238E27FC236}">
                  <a16:creationId xmlns:a16="http://schemas.microsoft.com/office/drawing/2014/main" id="{00000000-0008-0000-0C00-0000119C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940498" name="Add" hidden="1">
              <a:extLst>
                <a:ext uri="{63B3BB69-23CF-44E3-9099-C40C66FF867C}">
                  <a14:compatExt spid="_x0000_s1940498"/>
                </a:ext>
                <a:ext uri="{FF2B5EF4-FFF2-40B4-BE49-F238E27FC236}">
                  <a16:creationId xmlns:a16="http://schemas.microsoft.com/office/drawing/2014/main" id="{00000000-0008-0000-0C00-0000129C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940499" name="Add" hidden="1">
              <a:extLst>
                <a:ext uri="{63B3BB69-23CF-44E3-9099-C40C66FF867C}">
                  <a14:compatExt spid="_x0000_s1940499"/>
                </a:ext>
                <a:ext uri="{FF2B5EF4-FFF2-40B4-BE49-F238E27FC236}">
                  <a16:creationId xmlns:a16="http://schemas.microsoft.com/office/drawing/2014/main" id="{00000000-0008-0000-0C00-0000139C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940543" name="HideRelay1" hidden="1">
              <a:extLst>
                <a:ext uri="{63B3BB69-23CF-44E3-9099-C40C66FF867C}">
                  <a14:compatExt spid="_x0000_s1940543"/>
                </a:ext>
                <a:ext uri="{FF2B5EF4-FFF2-40B4-BE49-F238E27FC236}">
                  <a16:creationId xmlns:a16="http://schemas.microsoft.com/office/drawing/2014/main" id="{00000000-0008-0000-0C00-00003F9C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C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34B8AE-AEEF-4C9F-8DFE-714177462229}"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941019" name="HideRelay1" hidden="1">
              <a:extLst>
                <a:ext uri="{63B3BB69-23CF-44E3-9099-C40C66FF867C}">
                  <a14:compatExt spid="_x0000_s1941019"/>
                </a:ext>
                <a:ext uri="{FF2B5EF4-FFF2-40B4-BE49-F238E27FC236}">
                  <a16:creationId xmlns:a16="http://schemas.microsoft.com/office/drawing/2014/main" id="{00000000-0008-0000-0C00-00001B9E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941020" name="HideRelay1" hidden="1">
              <a:extLst>
                <a:ext uri="{63B3BB69-23CF-44E3-9099-C40C66FF867C}">
                  <a14:compatExt spid="_x0000_s1941020"/>
                </a:ext>
                <a:ext uri="{FF2B5EF4-FFF2-40B4-BE49-F238E27FC236}">
                  <a16:creationId xmlns:a16="http://schemas.microsoft.com/office/drawing/2014/main" id="{00000000-0008-0000-0C00-00001C9E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1941505" name="Relay1" hidden="1">
              <a:extLst>
                <a:ext uri="{63B3BB69-23CF-44E3-9099-C40C66FF867C}">
                  <a14:compatExt spid="_x0000_s1941505"/>
                </a:ext>
                <a:ext uri="{FF2B5EF4-FFF2-40B4-BE49-F238E27FC236}">
                  <a16:creationId xmlns:a16="http://schemas.microsoft.com/office/drawing/2014/main" id="{00000000-0008-0000-0D00-000001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941506" name="Curve1" hidden="1">
              <a:extLst>
                <a:ext uri="{63B3BB69-23CF-44E3-9099-C40C66FF867C}">
                  <a14:compatExt spid="_x0000_s1941506"/>
                </a:ext>
                <a:ext uri="{FF2B5EF4-FFF2-40B4-BE49-F238E27FC236}">
                  <a16:creationId xmlns:a16="http://schemas.microsoft.com/office/drawing/2014/main" id="{00000000-0008-0000-0D00-000002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941507" name="Upstream1" hidden="1">
              <a:extLst>
                <a:ext uri="{63B3BB69-23CF-44E3-9099-C40C66FF867C}">
                  <a14:compatExt spid="_x0000_s1941507"/>
                </a:ext>
                <a:ext uri="{FF2B5EF4-FFF2-40B4-BE49-F238E27FC236}">
                  <a16:creationId xmlns:a16="http://schemas.microsoft.com/office/drawing/2014/main" id="{00000000-0008-0000-0D00-000003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941509" name="Relay1Fault1" hidden="1">
              <a:extLst>
                <a:ext uri="{63B3BB69-23CF-44E3-9099-C40C66FF867C}">
                  <a14:compatExt spid="_x0000_s1941509"/>
                </a:ext>
                <a:ext uri="{FF2B5EF4-FFF2-40B4-BE49-F238E27FC236}">
                  <a16:creationId xmlns:a16="http://schemas.microsoft.com/office/drawing/2014/main" id="{00000000-0008-0000-0D00-000005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941510" name="Relay1Fault2" hidden="1">
              <a:extLst>
                <a:ext uri="{63B3BB69-23CF-44E3-9099-C40C66FF867C}">
                  <a14:compatExt spid="_x0000_s1941510"/>
                </a:ext>
                <a:ext uri="{FF2B5EF4-FFF2-40B4-BE49-F238E27FC236}">
                  <a16:creationId xmlns:a16="http://schemas.microsoft.com/office/drawing/2014/main" id="{00000000-0008-0000-0D00-000006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941511" name="Relay1Fault3" hidden="1">
              <a:extLst>
                <a:ext uri="{63B3BB69-23CF-44E3-9099-C40C66FF867C}">
                  <a14:compatExt spid="_x0000_s1941511"/>
                </a:ext>
                <a:ext uri="{FF2B5EF4-FFF2-40B4-BE49-F238E27FC236}">
                  <a16:creationId xmlns:a16="http://schemas.microsoft.com/office/drawing/2014/main" id="{00000000-0008-0000-0D00-000007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0</xdr:rowOff>
        </xdr:to>
        <xdr:sp macro="" textlink="">
          <xdr:nvSpPr>
            <xdr:cNvPr id="1941513" name="HideRelay1" hidden="1">
              <a:extLst>
                <a:ext uri="{63B3BB69-23CF-44E3-9099-C40C66FF867C}">
                  <a14:compatExt spid="_x0000_s1941513"/>
                </a:ext>
                <a:ext uri="{FF2B5EF4-FFF2-40B4-BE49-F238E27FC236}">
                  <a16:creationId xmlns:a16="http://schemas.microsoft.com/office/drawing/2014/main" id="{00000000-0008-0000-0D00-000009A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Hide Relay10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0</xdr:rowOff>
        </xdr:to>
        <xdr:sp macro="" textlink="">
          <xdr:nvSpPr>
            <xdr:cNvPr id="1941514" name="HideRelay1" hidden="1">
              <a:extLst>
                <a:ext uri="{63B3BB69-23CF-44E3-9099-C40C66FF867C}">
                  <a14:compatExt spid="_x0000_s1941514"/>
                </a:ext>
                <a:ext uri="{FF2B5EF4-FFF2-40B4-BE49-F238E27FC236}">
                  <a16:creationId xmlns:a16="http://schemas.microsoft.com/office/drawing/2014/main" id="{00000000-0008-0000-0D00-00000AA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Earth Fault Curve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941516" name="Setting Status" hidden="1">
              <a:extLst>
                <a:ext uri="{63B3BB69-23CF-44E3-9099-C40C66FF867C}">
                  <a14:compatExt spid="_x0000_s1941516"/>
                </a:ext>
                <a:ext uri="{FF2B5EF4-FFF2-40B4-BE49-F238E27FC236}">
                  <a16:creationId xmlns:a16="http://schemas.microsoft.com/office/drawing/2014/main" id="{00000000-0008-0000-0D00-00000C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0</xdr:colOff>
      <xdr:row>9</xdr:row>
      <xdr:rowOff>0</xdr:rowOff>
    </xdr:from>
    <xdr:to>
      <xdr:col>14</xdr:col>
      <xdr:colOff>0</xdr:colOff>
      <xdr:row>30</xdr:row>
      <xdr:rowOff>0</xdr:rowOff>
    </xdr:to>
    <xdr:graphicFrame macro="">
      <xdr:nvGraphicFramePr>
        <xdr:cNvPr id="18263099" name="Thumbnail10">
          <a:extLst>
            <a:ext uri="{FF2B5EF4-FFF2-40B4-BE49-F238E27FC236}">
              <a16:creationId xmlns:a16="http://schemas.microsoft.com/office/drawing/2014/main" id="{00000000-0008-0000-0D00-00003BAC1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1941518" name="Drop Down 14" hidden="1">
              <a:extLst>
                <a:ext uri="{63B3BB69-23CF-44E3-9099-C40C66FF867C}">
                  <a14:compatExt spid="_x0000_s1941518"/>
                </a:ext>
                <a:ext uri="{FF2B5EF4-FFF2-40B4-BE49-F238E27FC236}">
                  <a16:creationId xmlns:a16="http://schemas.microsoft.com/office/drawing/2014/main" id="{00000000-0008-0000-0D00-00000E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941519" name="Relay1FaultB1" hidden="1">
              <a:extLst>
                <a:ext uri="{63B3BB69-23CF-44E3-9099-C40C66FF867C}">
                  <a14:compatExt spid="_x0000_s1941519"/>
                </a:ext>
                <a:ext uri="{FF2B5EF4-FFF2-40B4-BE49-F238E27FC236}">
                  <a16:creationId xmlns:a16="http://schemas.microsoft.com/office/drawing/2014/main" id="{00000000-0008-0000-0D00-00000F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941520" name="Relay1FaultB2" hidden="1">
              <a:extLst>
                <a:ext uri="{63B3BB69-23CF-44E3-9099-C40C66FF867C}">
                  <a14:compatExt spid="_x0000_s1941520"/>
                </a:ext>
                <a:ext uri="{FF2B5EF4-FFF2-40B4-BE49-F238E27FC236}">
                  <a16:creationId xmlns:a16="http://schemas.microsoft.com/office/drawing/2014/main" id="{00000000-0008-0000-0D00-000010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941521" name="Relay1FaultB3" hidden="1">
              <a:extLst>
                <a:ext uri="{63B3BB69-23CF-44E3-9099-C40C66FF867C}">
                  <a14:compatExt spid="_x0000_s1941521"/>
                </a:ext>
                <a:ext uri="{FF2B5EF4-FFF2-40B4-BE49-F238E27FC236}">
                  <a16:creationId xmlns:a16="http://schemas.microsoft.com/office/drawing/2014/main" id="{00000000-0008-0000-0D00-000011A01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3</xdr:row>
          <xdr:rowOff>0</xdr:rowOff>
        </xdr:from>
        <xdr:to>
          <xdr:col>1</xdr:col>
          <xdr:colOff>0</xdr:colOff>
          <xdr:row>4</xdr:row>
          <xdr:rowOff>0</xdr:rowOff>
        </xdr:to>
        <xdr:sp macro="" textlink="">
          <xdr:nvSpPr>
            <xdr:cNvPr id="1941522" name="Add" hidden="1">
              <a:extLst>
                <a:ext uri="{63B3BB69-23CF-44E3-9099-C40C66FF867C}">
                  <a14:compatExt spid="_x0000_s1941522"/>
                </a:ext>
                <a:ext uri="{FF2B5EF4-FFF2-40B4-BE49-F238E27FC236}">
                  <a16:creationId xmlns:a16="http://schemas.microsoft.com/office/drawing/2014/main" id="{00000000-0008-0000-0D00-000012A0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3</xdr:row>
          <xdr:rowOff>0</xdr:rowOff>
        </xdr:from>
        <xdr:to>
          <xdr:col>0</xdr:col>
          <xdr:colOff>1257300</xdr:colOff>
          <xdr:row>4</xdr:row>
          <xdr:rowOff>0</xdr:rowOff>
        </xdr:to>
        <xdr:sp macro="" textlink="">
          <xdr:nvSpPr>
            <xdr:cNvPr id="1941523" name="Add" hidden="1">
              <a:extLst>
                <a:ext uri="{63B3BB69-23CF-44E3-9099-C40C66FF867C}">
                  <a14:compatExt spid="_x0000_s1941523"/>
                </a:ext>
                <a:ext uri="{FF2B5EF4-FFF2-40B4-BE49-F238E27FC236}">
                  <a16:creationId xmlns:a16="http://schemas.microsoft.com/office/drawing/2014/main" id="{00000000-0008-0000-0D00-000013A01D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AU"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209550</xdr:rowOff>
        </xdr:from>
        <xdr:to>
          <xdr:col>7</xdr:col>
          <xdr:colOff>0</xdr:colOff>
          <xdr:row>6</xdr:row>
          <xdr:rowOff>9525</xdr:rowOff>
        </xdr:to>
        <xdr:sp macro="" textlink="">
          <xdr:nvSpPr>
            <xdr:cNvPr id="1941567" name="HideRelay1" hidden="1">
              <a:extLst>
                <a:ext uri="{63B3BB69-23CF-44E3-9099-C40C66FF867C}">
                  <a14:compatExt spid="_x0000_s1941567"/>
                </a:ext>
                <a:ext uri="{FF2B5EF4-FFF2-40B4-BE49-F238E27FC236}">
                  <a16:creationId xmlns:a16="http://schemas.microsoft.com/office/drawing/2014/main" id="{00000000-0008-0000-0D00-00003FA0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OCCKT + 240ms</a:t>
              </a:r>
            </a:p>
          </xdr:txBody>
        </xdr:sp>
        <xdr:clientData fLocksWithSheet="0" fPrintsWithSheet="0"/>
      </xdr:twoCellAnchor>
    </mc:Choice>
    <mc:Fallback/>
  </mc:AlternateContent>
  <xdr:twoCellAnchor>
    <xdr:from>
      <xdr:col>5</xdr:col>
      <xdr:colOff>0</xdr:colOff>
      <xdr:row>34</xdr:row>
      <xdr:rowOff>0</xdr:rowOff>
    </xdr:from>
    <xdr:to>
      <xdr:col>8</xdr:col>
      <xdr:colOff>142875</xdr:colOff>
      <xdr:row>37</xdr:row>
      <xdr:rowOff>161925</xdr:rowOff>
    </xdr:to>
    <xdr:sp macro="" textlink="$A$46">
      <xdr:nvSpPr>
        <xdr:cNvPr id="19" name="TextBox 18">
          <a:extLst>
            <a:ext uri="{FF2B5EF4-FFF2-40B4-BE49-F238E27FC236}">
              <a16:creationId xmlns:a16="http://schemas.microsoft.com/office/drawing/2014/main" id="{00000000-0008-0000-0D00-000013000000}"/>
            </a:ext>
          </a:extLst>
        </xdr:cNvPr>
        <xdr:cNvSpPr txBox="1"/>
      </xdr:nvSpPr>
      <xdr:spPr>
        <a:xfrm>
          <a:off x="3133725" y="6838950"/>
          <a:ext cx="1600200" cy="762000"/>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F6800C-4123-440D-97F2-0ADCED88FDA1}" type="TxLink">
            <a:rPr lang="en-US" sz="800" b="1">
              <a:solidFill>
                <a:srgbClr val="FF0000"/>
              </a:solidFill>
              <a:latin typeface="Arial" pitchFamily="34" charset="0"/>
              <a:cs typeface="Arial" pitchFamily="34" charset="0"/>
            </a:rPr>
            <a:pPr/>
            <a:t>No changes, box not required.</a:t>
          </a:fld>
          <a:endParaRPr lang="en-US" sz="800" b="1">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7</xdr:col>
          <xdr:colOff>0</xdr:colOff>
          <xdr:row>15</xdr:row>
          <xdr:rowOff>19050</xdr:rowOff>
        </xdr:to>
        <xdr:sp macro="" textlink="">
          <xdr:nvSpPr>
            <xdr:cNvPr id="1942045" name="HideRelay1" hidden="1">
              <a:extLst>
                <a:ext uri="{63B3BB69-23CF-44E3-9099-C40C66FF867C}">
                  <a14:compatExt spid="_x0000_s1942045"/>
                </a:ext>
                <a:ext uri="{FF2B5EF4-FFF2-40B4-BE49-F238E27FC236}">
                  <a16:creationId xmlns:a16="http://schemas.microsoft.com/office/drawing/2014/main" id="{00000000-0008-0000-0D00-00001DA2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Check Pickup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7</xdr:col>
          <xdr:colOff>0</xdr:colOff>
          <xdr:row>16</xdr:row>
          <xdr:rowOff>19050</xdr:rowOff>
        </xdr:to>
        <xdr:sp macro="" textlink="">
          <xdr:nvSpPr>
            <xdr:cNvPr id="1942046" name="HideRelay1" hidden="1">
              <a:extLst>
                <a:ext uri="{63B3BB69-23CF-44E3-9099-C40C66FF867C}">
                  <a14:compatExt spid="_x0000_s1942046"/>
                </a:ext>
                <a:ext uri="{FF2B5EF4-FFF2-40B4-BE49-F238E27FC236}">
                  <a16:creationId xmlns:a16="http://schemas.microsoft.com/office/drawing/2014/main" id="{00000000-0008-0000-0D00-00001EA21D00}"/>
                </a:ext>
              </a:extLst>
            </xdr:cNvPr>
            <xdr:cNvSpPr/>
          </xdr:nvSpPr>
          <xdr:spPr bwMode="auto">
            <a:xfrm>
              <a:off x="0" y="0"/>
              <a:ext cx="0" cy="0"/>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Pickup Confirmed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0</xdr:rowOff>
        </xdr:from>
        <xdr:to>
          <xdr:col>4</xdr:col>
          <xdr:colOff>9525</xdr:colOff>
          <xdr:row>4</xdr:row>
          <xdr:rowOff>0</xdr:rowOff>
        </xdr:to>
        <xdr:sp macro="" textlink="">
          <xdr:nvSpPr>
            <xdr:cNvPr id="9965569" name="RefreshCurves" hidden="1">
              <a:extLst>
                <a:ext uri="{63B3BB69-23CF-44E3-9099-C40C66FF867C}">
                  <a14:compatExt spid="_x0000_s9965569"/>
                </a:ext>
                <a:ext uri="{FF2B5EF4-FFF2-40B4-BE49-F238E27FC236}">
                  <a16:creationId xmlns:a16="http://schemas.microsoft.com/office/drawing/2014/main" id="{00000000-0008-0000-0F00-000001109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absoluteAnchor>
    <xdr:pos x="0" y="0"/>
    <xdr:ext cx="13620750" cy="8743950"/>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0.1565</cdr:x>
      <cdr:y>0.142</cdr:y>
    </cdr:from>
    <cdr:to>
      <cdr:x>0.1885</cdr:x>
      <cdr:y>0.18975</cdr:y>
    </cdr:to>
    <cdr:sp macro="" textlink="">
      <cdr:nvSpPr>
        <cdr:cNvPr id="3028994" name="Rectangle 2"/>
        <cdr:cNvSpPr>
          <a:spLocks xmlns:a="http://schemas.openxmlformats.org/drawingml/2006/main" noChangeArrowheads="1"/>
        </cdr:cNvSpPr>
      </cdr:nvSpPr>
      <cdr:spPr bwMode="auto">
        <a:xfrm xmlns:a="http://schemas.openxmlformats.org/drawingml/2006/main">
          <a:off x="2134629" y="1245699"/>
          <a:ext cx="436473" cy="41888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19050">
          <a:solidFill>
            <a:srgbClr xmlns:mc="http://schemas.openxmlformats.org/markup-compatibility/2006" xmlns:a14="http://schemas.microsoft.com/office/drawing/2010/main" val="00FF00" mc:Ignorable="a14" a14:legacySpreadsheetColorIndex="11"/>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0.28275</cdr:x>
      <cdr:y>0.1655</cdr:y>
    </cdr:from>
    <cdr:to>
      <cdr:x>0.28275</cdr:x>
      <cdr:y>0.20025</cdr:y>
    </cdr:to>
    <cdr:sp macro="" textlink="">
      <cdr:nvSpPr>
        <cdr:cNvPr id="3028999" name="Line 7"/>
        <cdr:cNvSpPr>
          <a:spLocks xmlns:a="http://schemas.openxmlformats.org/drawingml/2006/main" noChangeShapeType="1"/>
        </cdr:cNvSpPr>
      </cdr:nvSpPr>
      <cdr:spPr bwMode="auto">
        <a:xfrm xmlns:a="http://schemas.openxmlformats.org/drawingml/2006/main">
          <a:off x="3856653" y="1451853"/>
          <a:ext cx="0" cy="30484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0.28275</cdr:x>
      <cdr:y>0.234</cdr:y>
    </cdr:from>
    <cdr:to>
      <cdr:x>0.28275</cdr:x>
      <cdr:y>0.26875</cdr:y>
    </cdr:to>
    <cdr:sp macro="" textlink="">
      <cdr:nvSpPr>
        <cdr:cNvPr id="3029001" name="Line 9"/>
        <cdr:cNvSpPr>
          <a:spLocks xmlns:a="http://schemas.openxmlformats.org/drawingml/2006/main" noChangeShapeType="1"/>
        </cdr:cNvSpPr>
      </cdr:nvSpPr>
      <cdr:spPr bwMode="auto">
        <a:xfrm xmlns:a="http://schemas.openxmlformats.org/drawingml/2006/main">
          <a:off x="3856653" y="2052771"/>
          <a:ext cx="0" cy="30484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0.089</cdr:x>
      <cdr:y>0.104</cdr:y>
    </cdr:from>
    <cdr:to>
      <cdr:x>0.131</cdr:x>
      <cdr:y>0.167</cdr:y>
    </cdr:to>
    <cdr:grpSp>
      <cdr:nvGrpSpPr>
        <cdr:cNvPr id="18077359" name="Group 11">
          <a:extLst xmlns:a="http://schemas.openxmlformats.org/drawingml/2006/main">
            <a:ext uri="{FF2B5EF4-FFF2-40B4-BE49-F238E27FC236}">
              <a16:creationId xmlns:a16="http://schemas.microsoft.com/office/drawing/2014/main" id="{CC62F0DA-00B1-B9A1-EC24-3D86780EE7D4}"/>
            </a:ext>
          </a:extLst>
        </cdr:cNvPr>
        <cdr:cNvGrpSpPr>
          <a:grpSpLocks xmlns:a="http://schemas.openxmlformats.org/drawingml/2006/main"/>
        </cdr:cNvGrpSpPr>
      </cdr:nvGrpSpPr>
      <cdr:grpSpPr bwMode="auto">
        <a:xfrm xmlns:a="http://schemas.openxmlformats.org/drawingml/2006/main">
          <a:off x="1212247" y="909371"/>
          <a:ext cx="572071" cy="550869"/>
          <a:chOff x="1438275" y="1934480"/>
          <a:chExt cx="600075" cy="550140"/>
        </a:xfrm>
      </cdr:grpSpPr>
      <cdr:sp macro="" textlink="">
        <cdr:nvSpPr>
          <cdr:cNvPr id="3029004" name="Line 12"/>
          <cdr:cNvSpPr>
            <a:spLocks xmlns:a="http://schemas.openxmlformats.org/drawingml/2006/main" noChangeShapeType="1"/>
          </cdr:cNvSpPr>
        </cdr:nvSpPr>
        <cdr:spPr bwMode="auto">
          <a:xfrm xmlns:a="http://schemas.openxmlformats.org/drawingml/2006/main" flipV="1">
            <a:off x="1438275" y="2153817"/>
            <a:ext cx="295275" cy="33080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05" name="Line 13"/>
          <cdr:cNvSpPr>
            <a:spLocks xmlns:a="http://schemas.openxmlformats.org/drawingml/2006/main" noChangeShapeType="1"/>
          </cdr:cNvSpPr>
        </cdr:nvSpPr>
        <cdr:spPr bwMode="auto">
          <a:xfrm xmlns:a="http://schemas.openxmlformats.org/drawingml/2006/main">
            <a:off x="1733550" y="2153817"/>
            <a:ext cx="2381" cy="13304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06" name="Line 14"/>
          <cdr:cNvSpPr>
            <a:spLocks xmlns:a="http://schemas.openxmlformats.org/drawingml/2006/main" noChangeShapeType="1"/>
          </cdr:cNvSpPr>
        </cdr:nvSpPr>
        <cdr:spPr bwMode="auto">
          <a:xfrm xmlns:a="http://schemas.openxmlformats.org/drawingml/2006/main" flipV="1">
            <a:off x="1733550" y="1934480"/>
            <a:ext cx="304800" cy="35237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type="triangle" w="med" len="me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0.09775</cdr:x>
      <cdr:y>0.0815</cdr:y>
    </cdr:from>
    <cdr:to>
      <cdr:x>0.12001</cdr:x>
      <cdr:y>0.11783</cdr:y>
    </cdr:to>
    <cdr:sp macro="" textlink="">
      <cdr:nvSpPr>
        <cdr:cNvPr id="3029007" name="Text Box 15"/>
        <cdr:cNvSpPr txBox="1">
          <a:spLocks xmlns:a="http://schemas.openxmlformats.org/drawingml/2006/main" noChangeArrowheads="1"/>
        </cdr:cNvSpPr>
      </cdr:nvSpPr>
      <cdr:spPr bwMode="auto">
        <a:xfrm xmlns:a="http://schemas.openxmlformats.org/drawingml/2006/main">
          <a:off x="1333290" y="713408"/>
          <a:ext cx="303673" cy="31803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3367</a:t>
          </a:r>
        </a:p>
        <a:p xmlns:a="http://schemas.openxmlformats.org/drawingml/2006/main">
          <a:pPr algn="l" rtl="0">
            <a:defRPr sz="1000"/>
          </a:pPr>
          <a:r>
            <a:rPr lang="en-AU" sz="1000" b="0" i="0" u="none" strike="noStrike" baseline="0">
              <a:solidFill>
                <a:srgbClr val="000000"/>
              </a:solidFill>
              <a:latin typeface="Arial"/>
              <a:cs typeface="Arial"/>
            </a:rPr>
            <a:t>1283</a:t>
          </a:r>
        </a:p>
      </cdr:txBody>
    </cdr:sp>
  </cdr:relSizeAnchor>
  <cdr:relSizeAnchor xmlns:cdr="http://schemas.openxmlformats.org/drawingml/2006/chartDrawing">
    <cdr:from>
      <cdr:x>0.20175</cdr:x>
      <cdr:y>0.104</cdr:y>
    </cdr:from>
    <cdr:to>
      <cdr:x>0.24225</cdr:x>
      <cdr:y>0.167</cdr:y>
    </cdr:to>
    <cdr:grpSp>
      <cdr:nvGrpSpPr>
        <cdr:cNvPr id="18077360" name="Group 16">
          <a:extLst xmlns:a="http://schemas.openxmlformats.org/drawingml/2006/main">
            <a:ext uri="{FF2B5EF4-FFF2-40B4-BE49-F238E27FC236}">
              <a16:creationId xmlns:a16="http://schemas.microsoft.com/office/drawing/2014/main" id="{EDE760D2-8374-1470-2457-F402EAD05EAC}"/>
            </a:ext>
          </a:extLst>
        </cdr:cNvPr>
        <cdr:cNvGrpSpPr>
          <a:grpSpLocks xmlns:a="http://schemas.openxmlformats.org/drawingml/2006/main"/>
        </cdr:cNvGrpSpPr>
      </cdr:nvGrpSpPr>
      <cdr:grpSpPr bwMode="auto">
        <a:xfrm xmlns:a="http://schemas.openxmlformats.org/drawingml/2006/main">
          <a:off x="2747986" y="909371"/>
          <a:ext cx="551641" cy="550869"/>
          <a:chOff x="2952750" y="1934480"/>
          <a:chExt cx="600075" cy="550140"/>
        </a:xfrm>
      </cdr:grpSpPr>
      <cdr:sp macro="" textlink="">
        <cdr:nvSpPr>
          <cdr:cNvPr id="3029009" name="Line 17"/>
          <cdr:cNvSpPr>
            <a:spLocks xmlns:a="http://schemas.openxmlformats.org/drawingml/2006/main" noChangeShapeType="1"/>
          </cdr:cNvSpPr>
        </cdr:nvSpPr>
        <cdr:spPr bwMode="auto">
          <a:xfrm xmlns:a="http://schemas.openxmlformats.org/drawingml/2006/main" flipV="1">
            <a:off x="2952750" y="2153817"/>
            <a:ext cx="295275" cy="33080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10" name="Line 18"/>
          <cdr:cNvSpPr>
            <a:spLocks xmlns:a="http://schemas.openxmlformats.org/drawingml/2006/main" noChangeShapeType="1"/>
          </cdr:cNvSpPr>
        </cdr:nvSpPr>
        <cdr:spPr bwMode="auto">
          <a:xfrm xmlns:a="http://schemas.openxmlformats.org/drawingml/2006/main">
            <a:off x="3248025" y="2153817"/>
            <a:ext cx="2381" cy="13304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11" name="Line 19"/>
          <cdr:cNvSpPr>
            <a:spLocks xmlns:a="http://schemas.openxmlformats.org/drawingml/2006/main" noChangeShapeType="1"/>
          </cdr:cNvSpPr>
        </cdr:nvSpPr>
        <cdr:spPr bwMode="auto">
          <a:xfrm xmlns:a="http://schemas.openxmlformats.org/drawingml/2006/main" flipV="1">
            <a:off x="3248025" y="1934480"/>
            <a:ext cx="304800" cy="35237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type="triangle" w="med" len="me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0.2125</cdr:x>
      <cdr:y>0.0805</cdr:y>
    </cdr:from>
    <cdr:to>
      <cdr:x>0.23476</cdr:x>
      <cdr:y>0.11683</cdr:y>
    </cdr:to>
    <cdr:sp macro="" textlink="">
      <cdr:nvSpPr>
        <cdr:cNvPr id="3029012" name="Text Box 20"/>
        <cdr:cNvSpPr txBox="1">
          <a:spLocks xmlns:a="http://schemas.openxmlformats.org/drawingml/2006/main" noChangeArrowheads="1"/>
        </cdr:cNvSpPr>
      </cdr:nvSpPr>
      <cdr:spPr bwMode="auto">
        <a:xfrm xmlns:a="http://schemas.openxmlformats.org/drawingml/2006/main">
          <a:off x="2898458" y="704655"/>
          <a:ext cx="303673" cy="31803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sng" strike="noStrike" baseline="0">
              <a:solidFill>
                <a:srgbClr val="000000"/>
              </a:solidFill>
              <a:latin typeface="Arial"/>
              <a:cs typeface="Arial"/>
            </a:rPr>
            <a:t>1287</a:t>
          </a:r>
          <a:endParaRPr lang="en-AU" sz="1000" b="0" i="0" u="none" strike="noStrike" baseline="0">
            <a:solidFill>
              <a:srgbClr val="000000"/>
            </a:solidFill>
            <a:latin typeface="Arial"/>
            <a:cs typeface="Arial"/>
          </a:endParaRPr>
        </a:p>
        <a:p xmlns:a="http://schemas.openxmlformats.org/drawingml/2006/main">
          <a:pPr algn="l" rtl="0">
            <a:defRPr sz="1000"/>
          </a:pPr>
          <a:r>
            <a:rPr lang="en-AU" sz="1000" b="0" i="0" u="none" strike="noStrike" baseline="0">
              <a:solidFill>
                <a:srgbClr val="000000"/>
              </a:solidFill>
              <a:latin typeface="Arial"/>
              <a:cs typeface="Arial"/>
            </a:rPr>
            <a:t> 600</a:t>
          </a:r>
        </a:p>
      </cdr:txBody>
    </cdr:sp>
  </cdr:relSizeAnchor>
  <cdr:relSizeAnchor xmlns:cdr="http://schemas.openxmlformats.org/drawingml/2006/chartDrawing">
    <cdr:from>
      <cdr:x>0.417</cdr:x>
      <cdr:y>0.103</cdr:y>
    </cdr:from>
    <cdr:to>
      <cdr:x>0.459</cdr:x>
      <cdr:y>0.166</cdr:y>
    </cdr:to>
    <cdr:grpSp>
      <cdr:nvGrpSpPr>
        <cdr:cNvPr id="18077361" name="Group 21">
          <a:extLst xmlns:a="http://schemas.openxmlformats.org/drawingml/2006/main">
            <a:ext uri="{FF2B5EF4-FFF2-40B4-BE49-F238E27FC236}">
              <a16:creationId xmlns:a16="http://schemas.microsoft.com/office/drawing/2014/main" id="{A4FC2227-877F-8D0B-2DFE-1356FFD18B93}"/>
            </a:ext>
          </a:extLst>
        </cdr:cNvPr>
        <cdr:cNvGrpSpPr>
          <a:grpSpLocks xmlns:a="http://schemas.openxmlformats.org/drawingml/2006/main"/>
        </cdr:cNvGrpSpPr>
      </cdr:nvGrpSpPr>
      <cdr:grpSpPr bwMode="auto">
        <a:xfrm xmlns:a="http://schemas.openxmlformats.org/drawingml/2006/main">
          <a:off x="5679853" y="900627"/>
          <a:ext cx="572071" cy="550869"/>
          <a:chOff x="5895975" y="1934480"/>
          <a:chExt cx="600075" cy="550140"/>
        </a:xfrm>
      </cdr:grpSpPr>
      <cdr:sp macro="" textlink="">
        <cdr:nvSpPr>
          <cdr:cNvPr id="3029014" name="Line 22"/>
          <cdr:cNvSpPr>
            <a:spLocks xmlns:a="http://schemas.openxmlformats.org/drawingml/2006/main" noChangeShapeType="1"/>
          </cdr:cNvSpPr>
        </cdr:nvSpPr>
        <cdr:spPr bwMode="auto">
          <a:xfrm xmlns:a="http://schemas.openxmlformats.org/drawingml/2006/main" flipV="1">
            <a:off x="5895975" y="2153817"/>
            <a:ext cx="295275" cy="33080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15" name="Line 23"/>
          <cdr:cNvSpPr>
            <a:spLocks xmlns:a="http://schemas.openxmlformats.org/drawingml/2006/main" noChangeShapeType="1"/>
          </cdr:cNvSpPr>
        </cdr:nvSpPr>
        <cdr:spPr bwMode="auto">
          <a:xfrm xmlns:a="http://schemas.openxmlformats.org/drawingml/2006/main">
            <a:off x="6191250" y="2153817"/>
            <a:ext cx="2381" cy="13304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16" name="Line 24"/>
          <cdr:cNvSpPr>
            <a:spLocks xmlns:a="http://schemas.openxmlformats.org/drawingml/2006/main" noChangeShapeType="1"/>
          </cdr:cNvSpPr>
        </cdr:nvSpPr>
        <cdr:spPr bwMode="auto">
          <a:xfrm xmlns:a="http://schemas.openxmlformats.org/drawingml/2006/main" flipV="1">
            <a:off x="6191250" y="1934480"/>
            <a:ext cx="304800" cy="35237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type="triangle" w="med" len="me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0.4305</cdr:x>
      <cdr:y>0.0745</cdr:y>
    </cdr:from>
    <cdr:to>
      <cdr:x>0.44754</cdr:x>
      <cdr:y>0.11083</cdr:y>
    </cdr:to>
    <cdr:sp macro="" textlink="">
      <cdr:nvSpPr>
        <cdr:cNvPr id="3029017" name="Text Box 25"/>
        <cdr:cNvSpPr txBox="1">
          <a:spLocks xmlns:a="http://schemas.openxmlformats.org/drawingml/2006/main" noChangeArrowheads="1"/>
        </cdr:cNvSpPr>
      </cdr:nvSpPr>
      <cdr:spPr bwMode="auto">
        <a:xfrm xmlns:a="http://schemas.openxmlformats.org/drawingml/2006/main">
          <a:off x="5871934" y="652134"/>
          <a:ext cx="232371" cy="31803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sng" strike="noStrike" baseline="0">
              <a:solidFill>
                <a:srgbClr val="000000"/>
              </a:solidFill>
              <a:latin typeface="Arial"/>
              <a:cs typeface="Arial"/>
            </a:rPr>
            <a:t>675</a:t>
          </a:r>
          <a:endParaRPr lang="en-AU" sz="1000" b="0" i="0" u="none" strike="noStrike" baseline="0">
            <a:solidFill>
              <a:srgbClr val="000000"/>
            </a:solidFill>
            <a:latin typeface="Arial"/>
            <a:cs typeface="Arial"/>
          </a:endParaRPr>
        </a:p>
        <a:p xmlns:a="http://schemas.openxmlformats.org/drawingml/2006/main">
          <a:pPr algn="l" rtl="0">
            <a:defRPr sz="1000"/>
          </a:pPr>
          <a:r>
            <a:rPr lang="en-AU" sz="1000" b="0" i="0" u="none" strike="noStrike" baseline="0">
              <a:solidFill>
                <a:srgbClr val="000000"/>
              </a:solidFill>
              <a:latin typeface="Arial"/>
              <a:cs typeface="Arial"/>
            </a:rPr>
            <a:t>348</a:t>
          </a:r>
        </a:p>
      </cdr:txBody>
    </cdr:sp>
  </cdr:relSizeAnchor>
  <cdr:relSizeAnchor xmlns:cdr="http://schemas.openxmlformats.org/drawingml/2006/chartDrawing">
    <cdr:from>
      <cdr:x>0.01575</cdr:x>
      <cdr:y>0.02675</cdr:y>
    </cdr:from>
    <cdr:to>
      <cdr:x>0.01575</cdr:x>
      <cdr:y>0.2135</cdr:y>
    </cdr:to>
    <cdr:sp macro="" textlink="">
      <cdr:nvSpPr>
        <cdr:cNvPr id="3029018" name="Line 26"/>
        <cdr:cNvSpPr>
          <a:spLocks xmlns:a="http://schemas.openxmlformats.org/drawingml/2006/main" noChangeShapeType="1"/>
        </cdr:cNvSpPr>
      </cdr:nvSpPr>
      <cdr:spPr bwMode="auto">
        <a:xfrm xmlns:a="http://schemas.openxmlformats.org/drawingml/2006/main">
          <a:off x="214827" y="234665"/>
          <a:ext cx="0" cy="1638269"/>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0.0495</cdr:x>
      <cdr:y>0.096</cdr:y>
    </cdr:from>
    <cdr:to>
      <cdr:x>0.08273</cdr:x>
      <cdr:y>0.13233</cdr:y>
    </cdr:to>
    <cdr:sp macro="" textlink="">
      <cdr:nvSpPr>
        <cdr:cNvPr id="3029020" name="Text Box 28"/>
        <cdr:cNvSpPr txBox="1">
          <a:spLocks xmlns:a="http://schemas.openxmlformats.org/drawingml/2006/main" noChangeArrowheads="1"/>
        </cdr:cNvSpPr>
      </cdr:nvSpPr>
      <cdr:spPr bwMode="auto">
        <a:xfrm xmlns:a="http://schemas.openxmlformats.org/drawingml/2006/main">
          <a:off x="675170" y="840334"/>
          <a:ext cx="453201" cy="31803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Relay 1</a:t>
          </a:r>
        </a:p>
        <a:p xmlns:a="http://schemas.openxmlformats.org/drawingml/2006/main">
          <a:pPr algn="l" rtl="0">
            <a:defRPr sz="1000"/>
          </a:pPr>
          <a:r>
            <a:rPr lang="en-AU" sz="1000" b="0" i="0" u="none" strike="noStrike" baseline="0">
              <a:solidFill>
                <a:srgbClr val="000000"/>
              </a:solidFill>
              <a:latin typeface="Arial"/>
              <a:cs typeface="Arial"/>
            </a:rPr>
            <a:t>ABC1</a:t>
          </a:r>
        </a:p>
      </cdr:txBody>
    </cdr:sp>
  </cdr:relSizeAnchor>
  <cdr:relSizeAnchor xmlns:cdr="http://schemas.openxmlformats.org/drawingml/2006/chartDrawing">
    <cdr:from>
      <cdr:x>0.1565</cdr:x>
      <cdr:y>0.103</cdr:y>
    </cdr:from>
    <cdr:to>
      <cdr:x>0.1985</cdr:x>
      <cdr:y>0.142</cdr:y>
    </cdr:to>
    <cdr:sp macro="" textlink="">
      <cdr:nvSpPr>
        <cdr:cNvPr id="3029021" name="Text Box 29"/>
        <cdr:cNvSpPr txBox="1">
          <a:spLocks xmlns:a="http://schemas.openxmlformats.org/drawingml/2006/main" noChangeArrowheads="1"/>
        </cdr:cNvSpPr>
      </cdr:nvSpPr>
      <cdr:spPr bwMode="auto">
        <a:xfrm xmlns:a="http://schemas.openxmlformats.org/drawingml/2006/main">
          <a:off x="2134629" y="903570"/>
          <a:ext cx="572871" cy="342129"/>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Relay 2</a:t>
          </a:r>
        </a:p>
        <a:p xmlns:a="http://schemas.openxmlformats.org/drawingml/2006/main">
          <a:pPr algn="l" rtl="0">
            <a:defRPr sz="1000"/>
          </a:pPr>
          <a:r>
            <a:rPr lang="en-AU" sz="1000" b="0" i="0" u="none" strike="noStrike" baseline="0">
              <a:solidFill>
                <a:srgbClr val="000000"/>
              </a:solidFill>
              <a:latin typeface="Arial"/>
              <a:cs typeface="Arial"/>
            </a:rPr>
            <a:t>X87342</a:t>
          </a:r>
        </a:p>
      </cdr:txBody>
    </cdr:sp>
  </cdr:relSizeAnchor>
  <cdr:relSizeAnchor xmlns:cdr="http://schemas.openxmlformats.org/drawingml/2006/chartDrawing">
    <cdr:from>
      <cdr:x>0.36475</cdr:x>
      <cdr:y>0.103</cdr:y>
    </cdr:from>
    <cdr:to>
      <cdr:x>0.408</cdr:x>
      <cdr:y>0.142</cdr:y>
    </cdr:to>
    <cdr:sp macro="" textlink="">
      <cdr:nvSpPr>
        <cdr:cNvPr id="3029022" name="Text Box 30"/>
        <cdr:cNvSpPr txBox="1">
          <a:spLocks xmlns:a="http://schemas.openxmlformats.org/drawingml/2006/main" noChangeArrowheads="1"/>
        </cdr:cNvSpPr>
      </cdr:nvSpPr>
      <cdr:spPr bwMode="auto">
        <a:xfrm xmlns:a="http://schemas.openxmlformats.org/drawingml/2006/main">
          <a:off x="4975117" y="903570"/>
          <a:ext cx="589921" cy="342129"/>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Relay 3</a:t>
          </a:r>
        </a:p>
        <a:p xmlns:a="http://schemas.openxmlformats.org/drawingml/2006/main">
          <a:pPr algn="l" rtl="0">
            <a:defRPr sz="1000"/>
          </a:pPr>
          <a:r>
            <a:rPr lang="en-AU" sz="1000" b="0" i="0" u="none" strike="noStrike" baseline="0">
              <a:solidFill>
                <a:srgbClr val="000000"/>
              </a:solidFill>
              <a:latin typeface="Arial"/>
              <a:cs typeface="Arial"/>
            </a:rPr>
            <a:t>X66882</a:t>
          </a:r>
        </a:p>
      </cdr:txBody>
    </cdr:sp>
  </cdr:relSizeAnchor>
  <cdr:relSizeAnchor xmlns:cdr="http://schemas.openxmlformats.org/drawingml/2006/chartDrawing">
    <cdr:from>
      <cdr:x>0.61275</cdr:x>
      <cdr:y>0.103</cdr:y>
    </cdr:from>
    <cdr:to>
      <cdr:x>0.65475</cdr:x>
      <cdr:y>0.166</cdr:y>
    </cdr:to>
    <cdr:grpSp>
      <cdr:nvGrpSpPr>
        <cdr:cNvPr id="18077362" name="Group 31">
          <a:extLst xmlns:a="http://schemas.openxmlformats.org/drawingml/2006/main">
            <a:ext uri="{FF2B5EF4-FFF2-40B4-BE49-F238E27FC236}">
              <a16:creationId xmlns:a16="http://schemas.microsoft.com/office/drawing/2014/main" id="{949E8BC5-FD14-0D9C-5854-AD16B975DA9D}"/>
            </a:ext>
          </a:extLst>
        </cdr:cNvPr>
        <cdr:cNvGrpSpPr>
          <a:grpSpLocks xmlns:a="http://schemas.openxmlformats.org/drawingml/2006/main"/>
        </cdr:cNvGrpSpPr>
      </cdr:nvGrpSpPr>
      <cdr:grpSpPr bwMode="auto">
        <a:xfrm xmlns:a="http://schemas.openxmlformats.org/drawingml/2006/main">
          <a:off x="8346115" y="900627"/>
          <a:ext cx="572071" cy="550869"/>
          <a:chOff x="5895975" y="1934480"/>
          <a:chExt cx="600075" cy="550140"/>
        </a:xfrm>
      </cdr:grpSpPr>
      <cdr:sp macro="" textlink="">
        <cdr:nvSpPr>
          <cdr:cNvPr id="3029024" name="Line 32"/>
          <cdr:cNvSpPr>
            <a:spLocks xmlns:a="http://schemas.openxmlformats.org/drawingml/2006/main" noChangeShapeType="1"/>
          </cdr:cNvSpPr>
        </cdr:nvSpPr>
        <cdr:spPr bwMode="auto">
          <a:xfrm xmlns:a="http://schemas.openxmlformats.org/drawingml/2006/main" flipV="1">
            <a:off x="5895975" y="2153817"/>
            <a:ext cx="295275" cy="33080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25" name="Line 33"/>
          <cdr:cNvSpPr>
            <a:spLocks xmlns:a="http://schemas.openxmlformats.org/drawingml/2006/main" noChangeShapeType="1"/>
          </cdr:cNvSpPr>
        </cdr:nvSpPr>
        <cdr:spPr bwMode="auto">
          <a:xfrm xmlns:a="http://schemas.openxmlformats.org/drawingml/2006/main">
            <a:off x="6191250" y="2153817"/>
            <a:ext cx="2381" cy="13304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26" name="Line 34"/>
          <cdr:cNvSpPr>
            <a:spLocks xmlns:a="http://schemas.openxmlformats.org/drawingml/2006/main" noChangeShapeType="1"/>
          </cdr:cNvSpPr>
        </cdr:nvSpPr>
        <cdr:spPr bwMode="auto">
          <a:xfrm xmlns:a="http://schemas.openxmlformats.org/drawingml/2006/main" flipV="1">
            <a:off x="6191250" y="1934480"/>
            <a:ext cx="304800" cy="35237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type="triangle" w="med" len="me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0.5915</cdr:x>
      <cdr:y>0.0745</cdr:y>
    </cdr:from>
    <cdr:to>
      <cdr:x>0.67675</cdr:x>
      <cdr:y>0.14625</cdr:y>
    </cdr:to>
    <cdr:sp macro="" textlink="">
      <cdr:nvSpPr>
        <cdr:cNvPr id="3029027" name="Text Box 35"/>
        <cdr:cNvSpPr txBox="1">
          <a:spLocks xmlns:a="http://schemas.openxmlformats.org/drawingml/2006/main" noChangeArrowheads="1"/>
        </cdr:cNvSpPr>
      </cdr:nvSpPr>
      <cdr:spPr bwMode="auto">
        <a:xfrm xmlns:a="http://schemas.openxmlformats.org/drawingml/2006/main">
          <a:off x="8067942" y="653553"/>
          <a:ext cx="1162793" cy="629429"/>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sng" strike="noStrike" baseline="0">
              <a:solidFill>
                <a:srgbClr val="000000"/>
              </a:solidFill>
              <a:latin typeface="Arial"/>
              <a:cs typeface="Arial"/>
            </a:rPr>
            <a:t>360</a:t>
          </a:r>
          <a:r>
            <a:rPr lang="en-AU" sz="1000" b="0" i="0" u="none" strike="noStrike" baseline="0">
              <a:solidFill>
                <a:srgbClr val="000000"/>
              </a:solidFill>
              <a:latin typeface="Arial"/>
              <a:cs typeface="Arial"/>
            </a:rPr>
            <a:t>  - 312 ph-ph</a:t>
          </a:r>
        </a:p>
        <a:p xmlns:a="http://schemas.openxmlformats.org/drawingml/2006/main">
          <a:pPr algn="l" rtl="0">
            <a:defRPr sz="1000"/>
          </a:pPr>
          <a:r>
            <a:rPr lang="en-AU" sz="1000" b="0" i="0" u="none" strike="noStrike" baseline="0">
              <a:solidFill>
                <a:srgbClr val="000000"/>
              </a:solidFill>
              <a:latin typeface="Arial"/>
              <a:cs typeface="Arial"/>
            </a:rPr>
            <a:t>213</a:t>
          </a:r>
        </a:p>
      </cdr:txBody>
    </cdr:sp>
  </cdr:relSizeAnchor>
  <cdr:relSizeAnchor xmlns:cdr="http://schemas.openxmlformats.org/drawingml/2006/chartDrawing">
    <cdr:from>
      <cdr:x>0.5105</cdr:x>
      <cdr:y>0.24975</cdr:y>
    </cdr:from>
    <cdr:to>
      <cdr:x>0.52754</cdr:x>
      <cdr:y>0.28608</cdr:y>
    </cdr:to>
    <cdr:sp macro="" textlink="">
      <cdr:nvSpPr>
        <cdr:cNvPr id="3029028" name="Text Box 36"/>
        <cdr:cNvSpPr txBox="1">
          <a:spLocks xmlns:a="http://schemas.openxmlformats.org/drawingml/2006/main" noChangeArrowheads="1"/>
        </cdr:cNvSpPr>
      </cdr:nvSpPr>
      <cdr:spPr bwMode="auto">
        <a:xfrm xmlns:a="http://schemas.openxmlformats.org/drawingml/2006/main">
          <a:off x="6963118" y="2186180"/>
          <a:ext cx="232371" cy="31803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lnSpc>
              <a:spcPts val="1100"/>
            </a:lnSpc>
            <a:defRPr sz="1000"/>
          </a:pPr>
          <a:r>
            <a:rPr lang="en-AU" sz="1000" b="0" i="0" u="sng" strike="noStrike" baseline="0">
              <a:solidFill>
                <a:srgbClr val="000000"/>
              </a:solidFill>
              <a:latin typeface="Arial"/>
              <a:cs typeface="Arial"/>
            </a:rPr>
            <a:t>460</a:t>
          </a:r>
          <a:endParaRPr lang="en-AU" sz="1000" b="0" i="0" u="none" strike="noStrike" baseline="0">
            <a:solidFill>
              <a:srgbClr val="000000"/>
            </a:solidFill>
            <a:latin typeface="Arial"/>
            <a:cs typeface="Arial"/>
          </a:endParaRPr>
        </a:p>
        <a:p xmlns:a="http://schemas.openxmlformats.org/drawingml/2006/main">
          <a:pPr algn="l" rtl="0">
            <a:defRPr sz="1000"/>
          </a:pPr>
          <a:r>
            <a:rPr lang="en-AU" sz="1000" b="0" i="0" u="none" strike="noStrike" baseline="0">
              <a:solidFill>
                <a:srgbClr val="000000"/>
              </a:solidFill>
              <a:latin typeface="Arial"/>
              <a:cs typeface="Arial"/>
            </a:rPr>
            <a:t>268</a:t>
          </a:r>
        </a:p>
      </cdr:txBody>
    </cdr:sp>
  </cdr:relSizeAnchor>
  <cdr:relSizeAnchor xmlns:cdr="http://schemas.openxmlformats.org/drawingml/2006/chartDrawing">
    <cdr:from>
      <cdr:x>0.51925</cdr:x>
      <cdr:y>0.236</cdr:y>
    </cdr:from>
    <cdr:to>
      <cdr:x>0.55975</cdr:x>
      <cdr:y>0.299</cdr:y>
    </cdr:to>
    <cdr:grpSp>
      <cdr:nvGrpSpPr>
        <cdr:cNvPr id="18077363" name="Group 37">
          <a:extLst xmlns:a="http://schemas.openxmlformats.org/drawingml/2006/main">
            <a:ext uri="{FF2B5EF4-FFF2-40B4-BE49-F238E27FC236}">
              <a16:creationId xmlns:a16="http://schemas.microsoft.com/office/drawing/2014/main" id="{4AFC1957-71EA-B437-0019-4D7B23D69981}"/>
            </a:ext>
          </a:extLst>
        </cdr:cNvPr>
        <cdr:cNvGrpSpPr>
          <a:grpSpLocks xmlns:a="http://schemas.openxmlformats.org/drawingml/2006/main"/>
        </cdr:cNvGrpSpPr>
      </cdr:nvGrpSpPr>
      <cdr:grpSpPr bwMode="auto">
        <a:xfrm xmlns:a="http://schemas.openxmlformats.org/drawingml/2006/main" rot="-10800000">
          <a:off x="7072574" y="2063572"/>
          <a:ext cx="551641" cy="550869"/>
          <a:chOff x="5895975" y="1934480"/>
          <a:chExt cx="600075" cy="550140"/>
        </a:xfrm>
      </cdr:grpSpPr>
      <cdr:sp macro="" textlink="">
        <cdr:nvSpPr>
          <cdr:cNvPr id="3029030" name="Line 38"/>
          <cdr:cNvSpPr>
            <a:spLocks xmlns:a="http://schemas.openxmlformats.org/drawingml/2006/main" noChangeShapeType="1"/>
          </cdr:cNvSpPr>
        </cdr:nvSpPr>
        <cdr:spPr bwMode="auto">
          <a:xfrm xmlns:a="http://schemas.openxmlformats.org/drawingml/2006/main" flipV="1">
            <a:off x="5895975" y="2153817"/>
            <a:ext cx="295275" cy="33080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31" name="Line 39"/>
          <cdr:cNvSpPr>
            <a:spLocks xmlns:a="http://schemas.openxmlformats.org/drawingml/2006/main" noChangeShapeType="1"/>
          </cdr:cNvSpPr>
        </cdr:nvSpPr>
        <cdr:spPr bwMode="auto">
          <a:xfrm xmlns:a="http://schemas.openxmlformats.org/drawingml/2006/main">
            <a:off x="6191250" y="2153817"/>
            <a:ext cx="2381" cy="13304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32" name="Line 40"/>
          <cdr:cNvSpPr>
            <a:spLocks xmlns:a="http://schemas.openxmlformats.org/drawingml/2006/main" noChangeShapeType="1"/>
          </cdr:cNvSpPr>
        </cdr:nvSpPr>
        <cdr:spPr bwMode="auto">
          <a:xfrm xmlns:a="http://schemas.openxmlformats.org/drawingml/2006/main" flipV="1">
            <a:off x="6191250" y="1934480"/>
            <a:ext cx="304800" cy="35237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6600" mc:Ignorable="a14" a14:legacySpreadsheetColorIndex="53"/>
            </a:solidFill>
            <a:round/>
            <a:headEnd/>
            <a:tailEnd type="triangle" w="med" len="me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0.25675</cdr:x>
      <cdr:y>0.2165</cdr:y>
    </cdr:from>
    <cdr:to>
      <cdr:x>0.27483</cdr:x>
      <cdr:y>0.23598</cdr:y>
    </cdr:to>
    <cdr:sp macro="" textlink="">
      <cdr:nvSpPr>
        <cdr:cNvPr id="3029044" name="Text Box 52"/>
        <cdr:cNvSpPr txBox="1">
          <a:spLocks xmlns:a="http://schemas.openxmlformats.org/drawingml/2006/main" noChangeArrowheads="1"/>
        </cdr:cNvSpPr>
      </cdr:nvSpPr>
      <cdr:spPr bwMode="auto">
        <a:xfrm xmlns:a="http://schemas.openxmlformats.org/drawingml/2006/main">
          <a:off x="3502019" y="1895127"/>
          <a:ext cx="246606" cy="17056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20K</a:t>
          </a:r>
        </a:p>
      </cdr:txBody>
    </cdr:sp>
  </cdr:relSizeAnchor>
  <cdr:relSizeAnchor xmlns:cdr="http://schemas.openxmlformats.org/drawingml/2006/chartDrawing">
    <cdr:from>
      <cdr:x>0.5355</cdr:x>
      <cdr:y>0.2115</cdr:y>
    </cdr:from>
    <cdr:to>
      <cdr:x>0.55358</cdr:x>
      <cdr:y>0.23098</cdr:y>
    </cdr:to>
    <cdr:sp macro="" textlink="">
      <cdr:nvSpPr>
        <cdr:cNvPr id="3029046" name="Text Box 54"/>
        <cdr:cNvSpPr txBox="1">
          <a:spLocks xmlns:a="http://schemas.openxmlformats.org/drawingml/2006/main" noChangeArrowheads="1"/>
        </cdr:cNvSpPr>
      </cdr:nvSpPr>
      <cdr:spPr bwMode="auto">
        <a:xfrm xmlns:a="http://schemas.openxmlformats.org/drawingml/2006/main">
          <a:off x="7304113" y="1851360"/>
          <a:ext cx="246606" cy="17056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40K</a:t>
          </a:r>
        </a:p>
      </cdr:txBody>
    </cdr:sp>
  </cdr:relSizeAnchor>
  <cdr:relSizeAnchor xmlns:cdr="http://schemas.openxmlformats.org/drawingml/2006/chartDrawing">
    <cdr:from>
      <cdr:x>0.01575</cdr:x>
      <cdr:y>0.1655</cdr:y>
    </cdr:from>
    <cdr:to>
      <cdr:x>0.04775</cdr:x>
      <cdr:y>0.1655</cdr:y>
    </cdr:to>
    <cdr:sp macro="" textlink="">
      <cdr:nvSpPr>
        <cdr:cNvPr id="3029047" name="Line 55"/>
        <cdr:cNvSpPr>
          <a:spLocks xmlns:a="http://schemas.openxmlformats.org/drawingml/2006/main" noChangeShapeType="1"/>
        </cdr:cNvSpPr>
      </cdr:nvSpPr>
      <cdr:spPr bwMode="auto">
        <a:xfrm xmlns:a="http://schemas.openxmlformats.org/drawingml/2006/main">
          <a:off x="214827" y="1451853"/>
          <a:ext cx="436473"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0.07925</cdr:x>
      <cdr:y>0.1655</cdr:y>
    </cdr:from>
    <cdr:to>
      <cdr:x>0.15325</cdr:x>
      <cdr:y>0.1655</cdr:y>
    </cdr:to>
    <cdr:sp macro="" textlink="">
      <cdr:nvSpPr>
        <cdr:cNvPr id="3029048" name="Line 56"/>
        <cdr:cNvSpPr>
          <a:spLocks xmlns:a="http://schemas.openxmlformats.org/drawingml/2006/main" noChangeShapeType="1"/>
        </cdr:cNvSpPr>
      </cdr:nvSpPr>
      <cdr:spPr bwMode="auto">
        <a:xfrm xmlns:a="http://schemas.openxmlformats.org/drawingml/2006/main">
          <a:off x="1080954" y="1451853"/>
          <a:ext cx="1009345"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0.18925</cdr:x>
      <cdr:y>0.1655</cdr:y>
    </cdr:from>
    <cdr:to>
      <cdr:x>0.3625</cdr:x>
      <cdr:y>0.1655</cdr:y>
    </cdr:to>
    <cdr:sp macro="" textlink="">
      <cdr:nvSpPr>
        <cdr:cNvPr id="3029049" name="Line 57"/>
        <cdr:cNvSpPr>
          <a:spLocks xmlns:a="http://schemas.openxmlformats.org/drawingml/2006/main" noChangeShapeType="1"/>
        </cdr:cNvSpPr>
      </cdr:nvSpPr>
      <cdr:spPr bwMode="auto">
        <a:xfrm xmlns:a="http://schemas.openxmlformats.org/drawingml/2006/main">
          <a:off x="2581332" y="1451853"/>
          <a:ext cx="2363096"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0.39675</cdr:x>
      <cdr:y>0.1655</cdr:y>
    </cdr:from>
    <cdr:to>
      <cdr:x>0.63</cdr:x>
      <cdr:y>0.1655</cdr:y>
    </cdr:to>
    <cdr:sp macro="" textlink="">
      <cdr:nvSpPr>
        <cdr:cNvPr id="3029050" name="Line 58"/>
        <cdr:cNvSpPr>
          <a:spLocks xmlns:a="http://schemas.openxmlformats.org/drawingml/2006/main" noChangeShapeType="1"/>
        </cdr:cNvSpPr>
      </cdr:nvSpPr>
      <cdr:spPr bwMode="auto">
        <a:xfrm xmlns:a="http://schemas.openxmlformats.org/drawingml/2006/main">
          <a:off x="5411591" y="1451853"/>
          <a:ext cx="3181483"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0.5605</cdr:x>
      <cdr:y>0.1655</cdr:y>
    </cdr:from>
    <cdr:to>
      <cdr:x>0.5605</cdr:x>
      <cdr:y>0.20025</cdr:y>
    </cdr:to>
    <cdr:sp macro="" textlink="">
      <cdr:nvSpPr>
        <cdr:cNvPr id="3029052" name="Line 60"/>
        <cdr:cNvSpPr>
          <a:spLocks xmlns:a="http://schemas.openxmlformats.org/drawingml/2006/main" noChangeShapeType="1"/>
        </cdr:cNvSpPr>
      </cdr:nvSpPr>
      <cdr:spPr bwMode="auto">
        <a:xfrm xmlns:a="http://schemas.openxmlformats.org/drawingml/2006/main">
          <a:off x="7645108" y="1451853"/>
          <a:ext cx="0" cy="30484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0.5605</cdr:x>
      <cdr:y>0.234</cdr:y>
    </cdr:from>
    <cdr:to>
      <cdr:x>0.5605</cdr:x>
      <cdr:y>0.26875</cdr:y>
    </cdr:to>
    <cdr:sp macro="" textlink="">
      <cdr:nvSpPr>
        <cdr:cNvPr id="3029053" name="Line 61"/>
        <cdr:cNvSpPr>
          <a:spLocks xmlns:a="http://schemas.openxmlformats.org/drawingml/2006/main" noChangeShapeType="1"/>
        </cdr:cNvSpPr>
      </cdr:nvSpPr>
      <cdr:spPr bwMode="auto">
        <a:xfrm xmlns:a="http://schemas.openxmlformats.org/drawingml/2006/main">
          <a:off x="7645108" y="2052771"/>
          <a:ext cx="0" cy="30484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0.0455</cdr:x>
      <cdr:y>0.142</cdr:y>
    </cdr:from>
    <cdr:to>
      <cdr:x>0.0775</cdr:x>
      <cdr:y>0.18975</cdr:y>
    </cdr:to>
    <cdr:sp macro="" textlink="">
      <cdr:nvSpPr>
        <cdr:cNvPr id="3029057" name="Rectangle 65"/>
        <cdr:cNvSpPr>
          <a:spLocks xmlns:a="http://schemas.openxmlformats.org/drawingml/2006/main" noChangeArrowheads="1"/>
        </cdr:cNvSpPr>
      </cdr:nvSpPr>
      <cdr:spPr bwMode="auto">
        <a:xfrm xmlns:a="http://schemas.openxmlformats.org/drawingml/2006/main">
          <a:off x="620611" y="1245699"/>
          <a:ext cx="436474" cy="41888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19050">
          <a:solidFill>
            <a:srgbClr xmlns:mc="http://schemas.openxmlformats.org/markup-compatibility/2006" xmlns:a14="http://schemas.microsoft.com/office/drawing/2010/main" val="FF0000" mc:Ignorable="a14" a14:legacySpreadsheetColorIndex="10"/>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0.363</cdr:x>
      <cdr:y>0.142</cdr:y>
    </cdr:from>
    <cdr:to>
      <cdr:x>0.395</cdr:x>
      <cdr:y>0.18975</cdr:y>
    </cdr:to>
    <cdr:sp macro="" textlink="">
      <cdr:nvSpPr>
        <cdr:cNvPr id="3029058" name="Rectangle 66"/>
        <cdr:cNvSpPr>
          <a:spLocks xmlns:a="http://schemas.openxmlformats.org/drawingml/2006/main" noChangeArrowheads="1"/>
        </cdr:cNvSpPr>
      </cdr:nvSpPr>
      <cdr:spPr bwMode="auto">
        <a:xfrm xmlns:a="http://schemas.openxmlformats.org/drawingml/2006/main">
          <a:off x="4951247" y="1245699"/>
          <a:ext cx="436474" cy="41888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19050">
          <a:solidFill>
            <a:srgbClr xmlns:mc="http://schemas.openxmlformats.org/markup-compatibility/2006" xmlns:a14="http://schemas.microsoft.com/office/drawing/2010/main" val="0000FF" mc:Ignorable="a14" a14:legacySpreadsheetColorIndex="12"/>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0.552</cdr:x>
      <cdr:y>0.2085</cdr:y>
    </cdr:from>
    <cdr:to>
      <cdr:x>0.5605</cdr:x>
      <cdr:y>0.235</cdr:y>
    </cdr:to>
    <cdr:grpSp>
      <cdr:nvGrpSpPr>
        <cdr:cNvPr id="18077364" name="Group 77">
          <a:extLst xmlns:a="http://schemas.openxmlformats.org/drawingml/2006/main">
            <a:ext uri="{FF2B5EF4-FFF2-40B4-BE49-F238E27FC236}">
              <a16:creationId xmlns:a16="http://schemas.microsoft.com/office/drawing/2014/main" id="{2CA6980A-2CA4-8517-0B30-680B15F89368}"/>
            </a:ext>
          </a:extLst>
        </cdr:cNvPr>
        <cdr:cNvGrpSpPr>
          <a:grpSpLocks xmlns:a="http://schemas.openxmlformats.org/drawingml/2006/main"/>
        </cdr:cNvGrpSpPr>
      </cdr:nvGrpSpPr>
      <cdr:grpSpPr bwMode="auto">
        <a:xfrm xmlns:a="http://schemas.openxmlformats.org/drawingml/2006/main">
          <a:off x="7518654" y="1823114"/>
          <a:ext cx="115776" cy="231714"/>
          <a:chOff x="7419904" y="1818944"/>
          <a:chExt cx="115776" cy="229279"/>
        </a:xfrm>
      </cdr:grpSpPr>
      <cdr:sp macro="" textlink="">
        <cdr:nvSpPr>
          <cdr:cNvPr id="3029067" name="Line 75"/>
          <cdr:cNvSpPr>
            <a:spLocks xmlns:a="http://schemas.openxmlformats.org/drawingml/2006/main" noChangeShapeType="1"/>
          </cdr:cNvSpPr>
        </cdr:nvSpPr>
        <cdr:spPr bwMode="auto">
          <a:xfrm xmlns:a="http://schemas.openxmlformats.org/drawingml/2006/main" rot="5400000" flipV="1">
            <a:off x="7363152" y="1879101"/>
            <a:ext cx="229279" cy="108966"/>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68" name="Freeform 76"/>
          <cdr:cNvSpPr>
            <a:spLocks xmlns:a="http://schemas.openxmlformats.org/drawingml/2006/main"/>
          </cdr:cNvSpPr>
        </cdr:nvSpPr>
        <cdr:spPr bwMode="auto">
          <a:xfrm xmlns:a="http://schemas.openxmlformats.org/drawingml/2006/main" rot="5400000" flipV="1">
            <a:off x="7363152" y="1875696"/>
            <a:ext cx="229279" cy="115776"/>
          </a:xfrm>
          <a:custGeom xmlns:a="http://schemas.openxmlformats.org/drawingml/2006/main">
            <a:avLst/>
            <a:gdLst>
              <a:gd name="T0" fmla="*/ 0 w 181065"/>
              <a:gd name="T1" fmla="*/ 10322 h 253290"/>
              <a:gd name="T2" fmla="*/ 71473 w 181065"/>
              <a:gd name="T3" fmla="*/ 19850 h 253290"/>
              <a:gd name="T4" fmla="*/ 90532 w 181065"/>
              <a:gd name="T5" fmla="*/ 129424 h 253290"/>
              <a:gd name="T6" fmla="*/ 104827 w 181065"/>
              <a:gd name="T7" fmla="*/ 234234 h 253290"/>
              <a:gd name="T8" fmla="*/ 181065 w 181065"/>
              <a:gd name="T9" fmla="*/ 243762 h 253290"/>
            </a:gdLst>
            <a:ahLst/>
            <a:cxnLst>
              <a:cxn ang="0">
                <a:pos x="T0" y="T1"/>
              </a:cxn>
              <a:cxn ang="0">
                <a:pos x="T2" y="T3"/>
              </a:cxn>
              <a:cxn ang="0">
                <a:pos x="T4" y="T5"/>
              </a:cxn>
              <a:cxn ang="0">
                <a:pos x="T6" y="T7"/>
              </a:cxn>
              <a:cxn ang="0">
                <a:pos x="T8" y="T9"/>
              </a:cxn>
            </a:cxnLst>
            <a:rect l="0" t="0" r="r" b="b"/>
            <a:pathLst>
              <a:path w="181065" h="253290">
                <a:moveTo>
                  <a:pt x="0" y="10322"/>
                </a:moveTo>
                <a:cubicBezTo>
                  <a:pt x="28192" y="5161"/>
                  <a:pt x="56384" y="0"/>
                  <a:pt x="71473" y="19850"/>
                </a:cubicBezTo>
                <a:cubicBezTo>
                  <a:pt x="86562" y="39700"/>
                  <a:pt x="84973" y="93693"/>
                  <a:pt x="90532" y="129424"/>
                </a:cubicBezTo>
                <a:cubicBezTo>
                  <a:pt x="96091" y="165155"/>
                  <a:pt x="89738" y="215178"/>
                  <a:pt x="104827" y="234234"/>
                </a:cubicBezTo>
                <a:cubicBezTo>
                  <a:pt x="119916" y="253290"/>
                  <a:pt x="150490" y="248526"/>
                  <a:pt x="181065" y="243762"/>
                </a:cubicBezTo>
              </a:path>
            </a:pathLst>
          </a:cu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0.08425</cdr:x>
      <cdr:y>0.31225</cdr:y>
    </cdr:from>
    <cdr:to>
      <cdr:x>0.16525</cdr:x>
      <cdr:y>0.40725</cdr:y>
    </cdr:to>
    <cdr:grpSp>
      <cdr:nvGrpSpPr>
        <cdr:cNvPr id="18077365" name="Group 112">
          <a:extLst xmlns:a="http://schemas.openxmlformats.org/drawingml/2006/main">
            <a:ext uri="{FF2B5EF4-FFF2-40B4-BE49-F238E27FC236}">
              <a16:creationId xmlns:a16="http://schemas.microsoft.com/office/drawing/2014/main" id="{61E265BB-723B-5A95-3ADA-D2B6257D73BC}"/>
            </a:ext>
          </a:extLst>
        </cdr:cNvPr>
        <cdr:cNvGrpSpPr>
          <a:grpSpLocks xmlns:a="http://schemas.openxmlformats.org/drawingml/2006/main"/>
        </cdr:cNvGrpSpPr>
      </cdr:nvGrpSpPr>
      <cdr:grpSpPr bwMode="auto">
        <a:xfrm xmlns:a="http://schemas.openxmlformats.org/drawingml/2006/main">
          <a:off x="1147548" y="2730298"/>
          <a:ext cx="1103281" cy="830676"/>
          <a:chOff x="1150953" y="2725141"/>
          <a:chExt cx="1093066" cy="829770"/>
        </a:xfrm>
      </cdr:grpSpPr>
      <cdr:grpSp>
        <cdr:nvGrpSpPr>
          <cdr:cNvPr id="18077381" name="Group 79">
            <a:extLst xmlns:a="http://schemas.openxmlformats.org/drawingml/2006/main">
              <a:ext uri="{FF2B5EF4-FFF2-40B4-BE49-F238E27FC236}">
                <a16:creationId xmlns:a16="http://schemas.microsoft.com/office/drawing/2014/main" id="{D6324BC5-4CAC-0749-829B-F996D86CAC7B}"/>
              </a:ext>
            </a:extLst>
          </cdr:cNvPr>
          <cdr:cNvGrpSpPr>
            <a:grpSpLocks xmlns:a="http://schemas.openxmlformats.org/drawingml/2006/main"/>
          </cdr:cNvGrpSpPr>
        </cdr:nvGrpSpPr>
        <cdr:grpSpPr bwMode="auto">
          <a:xfrm xmlns:a="http://schemas.openxmlformats.org/drawingml/2006/main">
            <a:off x="1651516" y="2725141"/>
            <a:ext cx="592503" cy="495678"/>
            <a:chOff x="367465" y="2097243"/>
            <a:chExt cx="781069" cy="787089"/>
          </a:xfrm>
        </cdr:grpSpPr>
      </cdr:grpSp>
      <cdr:grpSp>
        <cdr:nvGrpSpPr>
          <cdr:cNvPr id="18499370" name="Group 79">
            <a:extLst xmlns:a="http://schemas.openxmlformats.org/drawingml/2006/main">
              <a:ext uri="{FF2B5EF4-FFF2-40B4-BE49-F238E27FC236}">
                <a16:creationId xmlns:a16="http://schemas.microsoft.com/office/drawing/2014/main" id="{8F7CC5AB-0A28-7240-DD11-56E8E8C644B3}"/>
              </a:ext>
            </a:extLst>
          </cdr:cNvPr>
          <cdr:cNvGrpSpPr>
            <a:grpSpLocks xmlns:a="http://schemas.openxmlformats.org/drawingml/2006/main"/>
          </cdr:cNvGrpSpPr>
        </cdr:nvGrpSpPr>
        <cdr:grpSpPr bwMode="auto">
          <a:xfrm xmlns:a="http://schemas.openxmlformats.org/drawingml/2006/main">
            <a:off x="1651516" y="2725141"/>
            <a:ext cx="592503" cy="495678"/>
            <a:chOff x="367465" y="2097243"/>
            <a:chExt cx="781069" cy="787089"/>
          </a:xfrm>
        </cdr:grpSpPr>
        <cdr:sp macro="" textlink="">
          <cdr:nvSpPr>
            <cdr:cNvPr id="3029072" name="Oval 80"/>
            <cdr:cNvSpPr>
              <a:spLocks xmlns:a="http://schemas.openxmlformats.org/drawingml/2006/main" noChangeArrowheads="1"/>
            </cdr:cNvSpPr>
          </cdr:nvSpPr>
          <cdr:spPr bwMode="auto">
            <a:xfrm xmlns:a="http://schemas.openxmlformats.org/drawingml/2006/main">
              <a:off x="367465" y="2097243"/>
              <a:ext cx="781069" cy="787089"/>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nvGrpSpPr>
            <cdr:cNvPr id="18077387" name="Group 81">
              <a:extLst xmlns:a="http://schemas.openxmlformats.org/drawingml/2006/main">
                <a:ext uri="{FF2B5EF4-FFF2-40B4-BE49-F238E27FC236}">
                  <a16:creationId xmlns:a16="http://schemas.microsoft.com/office/drawing/2014/main" id="{448BA05A-09AF-AADB-91CC-4EC34636DCC0}"/>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grpSp>
        <cdr:grpSp>
          <cdr:nvGrpSpPr>
            <cdr:cNvPr id="18499383" name="Group 81">
              <a:extLst xmlns:a="http://schemas.openxmlformats.org/drawingml/2006/main">
                <a:ext uri="{FF2B5EF4-FFF2-40B4-BE49-F238E27FC236}">
                  <a16:creationId xmlns:a16="http://schemas.microsoft.com/office/drawing/2014/main" id="{A9B2F7E6-45C5-3963-A6CA-D3995F6623CC}"/>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sp macro="" textlink="">
            <cdr:nvSpPr>
              <cdr:cNvPr id="3029074" name="Line 82"/>
              <cdr:cNvSpPr>
                <a:spLocks xmlns:a="http://schemas.openxmlformats.org/drawingml/2006/main" noChangeShapeType="1"/>
              </cdr:cNvSpPr>
            </cdr:nvSpPr>
            <cdr:spPr bwMode="auto">
              <a:xfrm xmlns:a="http://schemas.openxmlformats.org/drawingml/2006/main">
                <a:off x="2013642" y="2879350"/>
                <a:ext cx="1648" cy="26651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75" name="Line 83"/>
              <cdr:cNvSpPr>
                <a:spLocks xmlns:a="http://schemas.openxmlformats.org/drawingml/2006/main" noChangeShapeType="1"/>
              </cdr:cNvSpPr>
            </cdr:nvSpPr>
            <cdr:spPr bwMode="auto">
              <a:xfrm xmlns:a="http://schemas.openxmlformats.org/drawingml/2006/main" rot="-25255267">
                <a:off x="2126096" y="3064295"/>
                <a:ext cx="2491" cy="27024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76" name="Line 84"/>
              <cdr:cNvSpPr>
                <a:spLocks xmlns:a="http://schemas.openxmlformats.org/drawingml/2006/main" noChangeShapeType="1"/>
              </cdr:cNvSpPr>
            </cdr:nvSpPr>
            <cdr:spPr bwMode="auto">
              <a:xfrm xmlns:a="http://schemas.openxmlformats.org/drawingml/2006/main" rot="3655267" flipH="1">
                <a:off x="1879325" y="3072170"/>
                <a:ext cx="4981" cy="26694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grpSp>
      <cdr:grpSp>
        <cdr:nvGrpSpPr>
          <cdr:cNvPr id="18077383" name="Group 85">
            <a:extLst xmlns:a="http://schemas.openxmlformats.org/drawingml/2006/main">
              <a:ext uri="{FF2B5EF4-FFF2-40B4-BE49-F238E27FC236}">
                <a16:creationId xmlns:a16="http://schemas.microsoft.com/office/drawing/2014/main" id="{500E108B-641E-B702-76E4-BFEED15DCBEB}"/>
              </a:ext>
            </a:extLst>
          </cdr:cNvPr>
          <cdr:cNvGrpSpPr>
            <a:grpSpLocks xmlns:a="http://schemas.openxmlformats.org/drawingml/2006/main"/>
          </cdr:cNvGrpSpPr>
        </cdr:nvGrpSpPr>
        <cdr:grpSpPr bwMode="auto">
          <a:xfrm xmlns:a="http://schemas.openxmlformats.org/drawingml/2006/main">
            <a:off x="1150953" y="2738242"/>
            <a:ext cx="582287" cy="495679"/>
            <a:chOff x="367465" y="2097243"/>
            <a:chExt cx="781069" cy="787089"/>
          </a:xfrm>
        </cdr:grpSpPr>
      </cdr:grpSp>
      <cdr:grpSp>
        <cdr:nvGrpSpPr>
          <cdr:cNvPr id="18499372" name="Group 85">
            <a:extLst xmlns:a="http://schemas.openxmlformats.org/drawingml/2006/main">
              <a:ext uri="{FF2B5EF4-FFF2-40B4-BE49-F238E27FC236}">
                <a16:creationId xmlns:a16="http://schemas.microsoft.com/office/drawing/2014/main" id="{B0312917-8E42-43E0-F90E-4799DEAA722D}"/>
              </a:ext>
            </a:extLst>
          </cdr:cNvPr>
          <cdr:cNvGrpSpPr>
            <a:grpSpLocks xmlns:a="http://schemas.openxmlformats.org/drawingml/2006/main"/>
          </cdr:cNvGrpSpPr>
        </cdr:nvGrpSpPr>
        <cdr:grpSpPr bwMode="auto">
          <a:xfrm xmlns:a="http://schemas.openxmlformats.org/drawingml/2006/main">
            <a:off x="1150953" y="2738242"/>
            <a:ext cx="582287" cy="495679"/>
            <a:chOff x="367465" y="2097243"/>
            <a:chExt cx="781069" cy="787089"/>
          </a:xfrm>
        </cdr:grpSpPr>
        <cdr:sp macro="" textlink="">
          <cdr:nvSpPr>
            <cdr:cNvPr id="3029078" name="Oval 86"/>
            <cdr:cNvSpPr>
              <a:spLocks xmlns:a="http://schemas.openxmlformats.org/drawingml/2006/main" noChangeArrowheads="1"/>
            </cdr:cNvSpPr>
          </cdr:nvSpPr>
          <cdr:spPr bwMode="auto">
            <a:xfrm xmlns:a="http://schemas.openxmlformats.org/drawingml/2006/main">
              <a:off x="367465" y="2097243"/>
              <a:ext cx="781069" cy="787089"/>
            </a:xfrm>
            <a:prstGeom xmlns:a="http://schemas.openxmlformats.org/drawingml/2006/main" prst="ellips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nvGrpSpPr>
            <cdr:cNvPr id="18077385" name="Group 87">
              <a:extLst xmlns:a="http://schemas.openxmlformats.org/drawingml/2006/main">
                <a:ext uri="{FF2B5EF4-FFF2-40B4-BE49-F238E27FC236}">
                  <a16:creationId xmlns:a16="http://schemas.microsoft.com/office/drawing/2014/main" id="{F6BD35FC-791C-4CA4-8715-C475DA9FF65E}"/>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grpSp>
        <cdr:grpSp>
          <cdr:nvGrpSpPr>
            <cdr:cNvPr id="18499377" name="Group 87">
              <a:extLst xmlns:a="http://schemas.openxmlformats.org/drawingml/2006/main">
                <a:ext uri="{FF2B5EF4-FFF2-40B4-BE49-F238E27FC236}">
                  <a16:creationId xmlns:a16="http://schemas.microsoft.com/office/drawing/2014/main" id="{E00C216D-5EBF-18D8-73FE-435B6A31FBE1}"/>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sp macro="" textlink="">
            <cdr:nvSpPr>
              <cdr:cNvPr id="3029080" name="Line 88"/>
              <cdr:cNvSpPr>
                <a:spLocks xmlns:a="http://schemas.openxmlformats.org/drawingml/2006/main" noChangeShapeType="1"/>
              </cdr:cNvSpPr>
            </cdr:nvSpPr>
            <cdr:spPr bwMode="auto">
              <a:xfrm xmlns:a="http://schemas.openxmlformats.org/drawingml/2006/main">
                <a:off x="2013642" y="2879350"/>
                <a:ext cx="1648" cy="26651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81" name="Line 89"/>
              <cdr:cNvSpPr>
                <a:spLocks xmlns:a="http://schemas.openxmlformats.org/drawingml/2006/main" noChangeShapeType="1"/>
              </cdr:cNvSpPr>
            </cdr:nvSpPr>
            <cdr:spPr bwMode="auto">
              <a:xfrm xmlns:a="http://schemas.openxmlformats.org/drawingml/2006/main" rot="-25255267">
                <a:off x="2126096" y="3064295"/>
                <a:ext cx="2491" cy="27024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82" name="Line 90"/>
              <cdr:cNvSpPr>
                <a:spLocks xmlns:a="http://schemas.openxmlformats.org/drawingml/2006/main" noChangeShapeType="1"/>
              </cdr:cNvSpPr>
            </cdr:nvSpPr>
            <cdr:spPr bwMode="auto">
              <a:xfrm xmlns:a="http://schemas.openxmlformats.org/drawingml/2006/main" rot="3655267" flipH="1">
                <a:off x="1879325" y="3072170"/>
                <a:ext cx="4981" cy="26694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grpSp>
      <cdr:sp macro="" textlink="">
        <cdr:nvSpPr>
          <cdr:cNvPr id="3029083" name="Oval 91"/>
          <cdr:cNvSpPr>
            <a:spLocks xmlns:a="http://schemas.openxmlformats.org/drawingml/2006/main" noChangeArrowheads="1"/>
          </cdr:cNvSpPr>
        </cdr:nvSpPr>
        <cdr:spPr bwMode="auto">
          <a:xfrm xmlns:a="http://schemas.openxmlformats.org/drawingml/2006/main">
            <a:off x="1416558" y="3074518"/>
            <a:ext cx="572072" cy="480393"/>
          </a:xfrm>
          <a:prstGeom xmlns:a="http://schemas.openxmlformats.org/drawingml/2006/main" prst="ellips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084" name="AutoShape 92"/>
          <cdr:cNvSpPr>
            <a:spLocks xmlns:a="http://schemas.openxmlformats.org/drawingml/2006/main" noChangeArrowheads="1"/>
          </cdr:cNvSpPr>
        </cdr:nvSpPr>
        <cdr:spPr bwMode="auto">
          <a:xfrm xmlns:a="http://schemas.openxmlformats.org/drawingml/2006/main">
            <a:off x="1573197" y="3183698"/>
            <a:ext cx="265604" cy="194341"/>
          </a:xfrm>
          <a:prstGeom xmlns:a="http://schemas.openxmlformats.org/drawingml/2006/main" prst="triangle">
            <a:avLst>
              <a:gd name="adj" fmla="val 50000"/>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0.16525</cdr:x>
      <cdr:y>0.34275</cdr:y>
    </cdr:from>
    <cdr:to>
      <cdr:x>0.224</cdr:x>
      <cdr:y>0.34275</cdr:y>
    </cdr:to>
    <cdr:sp macro="" textlink="">
      <cdr:nvSpPr>
        <cdr:cNvPr id="3029085" name="Line 93"/>
        <cdr:cNvSpPr>
          <a:spLocks xmlns:a="http://schemas.openxmlformats.org/drawingml/2006/main" noChangeShapeType="1"/>
        </cdr:cNvSpPr>
      </cdr:nvSpPr>
      <cdr:spPr bwMode="auto">
        <a:xfrm xmlns:a="http://schemas.openxmlformats.org/drawingml/2006/main">
          <a:off x="2253977" y="3006783"/>
          <a:ext cx="80133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0.02525</cdr:x>
      <cdr:y>0.34275</cdr:y>
    </cdr:from>
    <cdr:to>
      <cdr:x>0.08425</cdr:x>
      <cdr:y>0.34275</cdr:y>
    </cdr:to>
    <cdr:sp macro="" textlink="">
      <cdr:nvSpPr>
        <cdr:cNvPr id="3029086" name="Line 94"/>
        <cdr:cNvSpPr>
          <a:spLocks xmlns:a="http://schemas.openxmlformats.org/drawingml/2006/main" noChangeShapeType="1"/>
        </cdr:cNvSpPr>
      </cdr:nvSpPr>
      <cdr:spPr bwMode="auto">
        <a:xfrm xmlns:a="http://schemas.openxmlformats.org/drawingml/2006/main">
          <a:off x="344405" y="3006783"/>
          <a:ext cx="80474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0.08425</cdr:x>
      <cdr:y>0.46675</cdr:y>
    </cdr:from>
    <cdr:to>
      <cdr:x>0.16525</cdr:x>
      <cdr:y>0.5255</cdr:y>
    </cdr:to>
    <cdr:grpSp>
      <cdr:nvGrpSpPr>
        <cdr:cNvPr id="18077366" name="Group 130">
          <a:extLst xmlns:a="http://schemas.openxmlformats.org/drawingml/2006/main">
            <a:ext uri="{FF2B5EF4-FFF2-40B4-BE49-F238E27FC236}">
              <a16:creationId xmlns:a16="http://schemas.microsoft.com/office/drawing/2014/main" id="{60FF37AE-1D40-6413-C02D-4BF97D6D2C42}"/>
            </a:ext>
          </a:extLst>
        </cdr:cNvPr>
        <cdr:cNvGrpSpPr>
          <a:grpSpLocks xmlns:a="http://schemas.openxmlformats.org/drawingml/2006/main"/>
        </cdr:cNvGrpSpPr>
      </cdr:nvGrpSpPr>
      <cdr:grpSpPr bwMode="auto">
        <a:xfrm xmlns:a="http://schemas.openxmlformats.org/drawingml/2006/main">
          <a:off x="1147548" y="4081239"/>
          <a:ext cx="1103281" cy="513707"/>
          <a:chOff x="1150953" y="4076793"/>
          <a:chExt cx="1093066" cy="508780"/>
        </a:xfrm>
      </cdr:grpSpPr>
      <cdr:grpSp>
        <cdr:nvGrpSpPr>
          <cdr:cNvPr id="18077373" name="Group 114">
            <a:extLst xmlns:a="http://schemas.openxmlformats.org/drawingml/2006/main">
              <a:ext uri="{FF2B5EF4-FFF2-40B4-BE49-F238E27FC236}">
                <a16:creationId xmlns:a16="http://schemas.microsoft.com/office/drawing/2014/main" id="{84D17319-8D06-5BCE-98D2-A516529D2124}"/>
              </a:ext>
            </a:extLst>
          </cdr:cNvPr>
          <cdr:cNvGrpSpPr>
            <a:grpSpLocks xmlns:a="http://schemas.openxmlformats.org/drawingml/2006/main"/>
          </cdr:cNvGrpSpPr>
        </cdr:nvGrpSpPr>
        <cdr:grpSpPr bwMode="auto">
          <a:xfrm xmlns:a="http://schemas.openxmlformats.org/drawingml/2006/main">
            <a:off x="1651516" y="4076793"/>
            <a:ext cx="592503" cy="495678"/>
            <a:chOff x="367465" y="2097243"/>
            <a:chExt cx="781069" cy="787089"/>
          </a:xfrm>
        </cdr:grpSpPr>
      </cdr:grpSp>
      <cdr:grpSp>
        <cdr:nvGrpSpPr>
          <cdr:cNvPr id="18499354" name="Group 114">
            <a:extLst xmlns:a="http://schemas.openxmlformats.org/drawingml/2006/main">
              <a:ext uri="{FF2B5EF4-FFF2-40B4-BE49-F238E27FC236}">
                <a16:creationId xmlns:a16="http://schemas.microsoft.com/office/drawing/2014/main" id="{17B82A7E-F056-DF34-DC11-C37B425E1B83}"/>
              </a:ext>
            </a:extLst>
          </cdr:cNvPr>
          <cdr:cNvGrpSpPr>
            <a:grpSpLocks xmlns:a="http://schemas.openxmlformats.org/drawingml/2006/main"/>
          </cdr:cNvGrpSpPr>
        </cdr:nvGrpSpPr>
        <cdr:grpSpPr bwMode="auto">
          <a:xfrm xmlns:a="http://schemas.openxmlformats.org/drawingml/2006/main">
            <a:off x="1651516" y="4076793"/>
            <a:ext cx="592503" cy="495678"/>
            <a:chOff x="367465" y="2097243"/>
            <a:chExt cx="781069" cy="787089"/>
          </a:xfrm>
        </cdr:grpSpPr>
        <cdr:sp macro="" textlink="">
          <cdr:nvSpPr>
            <cdr:cNvPr id="3029107" name="Oval 115"/>
            <cdr:cNvSpPr>
              <a:spLocks xmlns:a="http://schemas.openxmlformats.org/drawingml/2006/main" noChangeArrowheads="1"/>
            </cdr:cNvSpPr>
          </cdr:nvSpPr>
          <cdr:spPr bwMode="auto">
            <a:xfrm xmlns:a="http://schemas.openxmlformats.org/drawingml/2006/main">
              <a:off x="367465" y="2097243"/>
              <a:ext cx="781069" cy="787089"/>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nvGrpSpPr>
            <cdr:cNvPr id="18077379" name="Group 116">
              <a:extLst xmlns:a="http://schemas.openxmlformats.org/drawingml/2006/main">
                <a:ext uri="{FF2B5EF4-FFF2-40B4-BE49-F238E27FC236}">
                  <a16:creationId xmlns:a16="http://schemas.microsoft.com/office/drawing/2014/main" id="{A5F9E5E5-8FE8-C927-84EA-737403C6252E}"/>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grpSp>
        <cdr:grpSp>
          <cdr:nvGrpSpPr>
            <cdr:cNvPr id="18499365" name="Group 116">
              <a:extLst xmlns:a="http://schemas.openxmlformats.org/drawingml/2006/main">
                <a:ext uri="{FF2B5EF4-FFF2-40B4-BE49-F238E27FC236}">
                  <a16:creationId xmlns:a16="http://schemas.microsoft.com/office/drawing/2014/main" id="{D54D4023-F81E-CD50-1BEF-94BF754A9832}"/>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sp macro="" textlink="">
            <cdr:nvSpPr>
              <cdr:cNvPr id="3029109" name="Line 117"/>
              <cdr:cNvSpPr>
                <a:spLocks xmlns:a="http://schemas.openxmlformats.org/drawingml/2006/main" noChangeShapeType="1"/>
              </cdr:cNvSpPr>
            </cdr:nvSpPr>
            <cdr:spPr bwMode="auto">
              <a:xfrm xmlns:a="http://schemas.openxmlformats.org/drawingml/2006/main">
                <a:off x="2013642" y="2879350"/>
                <a:ext cx="1648" cy="26651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10" name="Line 118"/>
              <cdr:cNvSpPr>
                <a:spLocks xmlns:a="http://schemas.openxmlformats.org/drawingml/2006/main" noChangeShapeType="1"/>
              </cdr:cNvSpPr>
            </cdr:nvSpPr>
            <cdr:spPr bwMode="auto">
              <a:xfrm xmlns:a="http://schemas.openxmlformats.org/drawingml/2006/main" rot="-25255267">
                <a:off x="2126096" y="3064295"/>
                <a:ext cx="2491" cy="27024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11" name="Line 119"/>
              <cdr:cNvSpPr>
                <a:spLocks xmlns:a="http://schemas.openxmlformats.org/drawingml/2006/main" noChangeShapeType="1"/>
              </cdr:cNvSpPr>
            </cdr:nvSpPr>
            <cdr:spPr bwMode="auto">
              <a:xfrm xmlns:a="http://schemas.openxmlformats.org/drawingml/2006/main" rot="3655267" flipH="1">
                <a:off x="1879325" y="3072170"/>
                <a:ext cx="4981" cy="26694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grpSp>
      <cdr:grpSp>
        <cdr:nvGrpSpPr>
          <cdr:cNvPr id="18077375" name="Group 120">
            <a:extLst xmlns:a="http://schemas.openxmlformats.org/drawingml/2006/main">
              <a:ext uri="{FF2B5EF4-FFF2-40B4-BE49-F238E27FC236}">
                <a16:creationId xmlns:a16="http://schemas.microsoft.com/office/drawing/2014/main" id="{FFF537E5-C16A-DB2A-6278-5C40FC9FD35D}"/>
              </a:ext>
            </a:extLst>
          </cdr:cNvPr>
          <cdr:cNvGrpSpPr>
            <a:grpSpLocks xmlns:a="http://schemas.openxmlformats.org/drawingml/2006/main"/>
          </cdr:cNvGrpSpPr>
        </cdr:nvGrpSpPr>
        <cdr:grpSpPr bwMode="auto">
          <a:xfrm xmlns:a="http://schemas.openxmlformats.org/drawingml/2006/main">
            <a:off x="1150953" y="4089895"/>
            <a:ext cx="582287" cy="495678"/>
            <a:chOff x="367465" y="2097243"/>
            <a:chExt cx="781069" cy="787089"/>
          </a:xfrm>
        </cdr:grpSpPr>
      </cdr:grpSp>
      <cdr:grpSp>
        <cdr:nvGrpSpPr>
          <cdr:cNvPr id="18499356" name="Group 120">
            <a:extLst xmlns:a="http://schemas.openxmlformats.org/drawingml/2006/main">
              <a:ext uri="{FF2B5EF4-FFF2-40B4-BE49-F238E27FC236}">
                <a16:creationId xmlns:a16="http://schemas.microsoft.com/office/drawing/2014/main" id="{5227203B-EF10-D94D-458F-0129FC6350A3}"/>
              </a:ext>
            </a:extLst>
          </cdr:cNvPr>
          <cdr:cNvGrpSpPr>
            <a:grpSpLocks xmlns:a="http://schemas.openxmlformats.org/drawingml/2006/main"/>
          </cdr:cNvGrpSpPr>
        </cdr:nvGrpSpPr>
        <cdr:grpSpPr bwMode="auto">
          <a:xfrm xmlns:a="http://schemas.openxmlformats.org/drawingml/2006/main">
            <a:off x="1150953" y="4089895"/>
            <a:ext cx="582287" cy="495678"/>
            <a:chOff x="367465" y="2097243"/>
            <a:chExt cx="781069" cy="787089"/>
          </a:xfrm>
        </cdr:grpSpPr>
        <cdr:sp macro="" textlink="">
          <cdr:nvSpPr>
            <cdr:cNvPr id="3029113" name="Oval 121"/>
            <cdr:cNvSpPr>
              <a:spLocks xmlns:a="http://schemas.openxmlformats.org/drawingml/2006/main" noChangeArrowheads="1"/>
            </cdr:cNvSpPr>
          </cdr:nvSpPr>
          <cdr:spPr bwMode="auto">
            <a:xfrm xmlns:a="http://schemas.openxmlformats.org/drawingml/2006/main">
              <a:off x="367465" y="2097243"/>
              <a:ext cx="781069" cy="787089"/>
            </a:xfrm>
            <a:prstGeom xmlns:a="http://schemas.openxmlformats.org/drawingml/2006/main" prst="ellips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nvGrpSpPr>
            <cdr:cNvPr id="18077377" name="Group 122">
              <a:extLst xmlns:a="http://schemas.openxmlformats.org/drawingml/2006/main">
                <a:ext uri="{FF2B5EF4-FFF2-40B4-BE49-F238E27FC236}">
                  <a16:creationId xmlns:a16="http://schemas.microsoft.com/office/drawing/2014/main" id="{1D22F7AE-F619-A2D7-2111-FB9024DC5AD3}"/>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grpSp>
        <cdr:grpSp>
          <cdr:nvGrpSpPr>
            <cdr:cNvPr id="18499359" name="Group 122">
              <a:extLst xmlns:a="http://schemas.openxmlformats.org/drawingml/2006/main">
                <a:ext uri="{FF2B5EF4-FFF2-40B4-BE49-F238E27FC236}">
                  <a16:creationId xmlns:a16="http://schemas.microsoft.com/office/drawing/2014/main" id="{5E5B3521-A419-68CF-DDAB-344282ABE343}"/>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sp macro="" textlink="">
            <cdr:nvSpPr>
              <cdr:cNvPr id="3029115" name="Line 123"/>
              <cdr:cNvSpPr>
                <a:spLocks xmlns:a="http://schemas.openxmlformats.org/drawingml/2006/main" noChangeShapeType="1"/>
              </cdr:cNvSpPr>
            </cdr:nvSpPr>
            <cdr:spPr bwMode="auto">
              <a:xfrm xmlns:a="http://schemas.openxmlformats.org/drawingml/2006/main">
                <a:off x="2013642" y="2879350"/>
                <a:ext cx="1648" cy="26651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16" name="Line 124"/>
              <cdr:cNvSpPr>
                <a:spLocks xmlns:a="http://schemas.openxmlformats.org/drawingml/2006/main" noChangeShapeType="1"/>
              </cdr:cNvSpPr>
            </cdr:nvSpPr>
            <cdr:spPr bwMode="auto">
              <a:xfrm xmlns:a="http://schemas.openxmlformats.org/drawingml/2006/main" rot="-25255267">
                <a:off x="2126096" y="3064295"/>
                <a:ext cx="2491" cy="27024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17" name="Line 125"/>
              <cdr:cNvSpPr>
                <a:spLocks xmlns:a="http://schemas.openxmlformats.org/drawingml/2006/main" noChangeShapeType="1"/>
              </cdr:cNvSpPr>
            </cdr:nvSpPr>
            <cdr:spPr bwMode="auto">
              <a:xfrm xmlns:a="http://schemas.openxmlformats.org/drawingml/2006/main" rot="3655267" flipH="1">
                <a:off x="1879325" y="3072170"/>
                <a:ext cx="4981" cy="26694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grpSp>
    </cdr:grpSp>
  </cdr:relSizeAnchor>
  <cdr:relSizeAnchor xmlns:cdr="http://schemas.openxmlformats.org/drawingml/2006/chartDrawing">
    <cdr:from>
      <cdr:x>0.16525</cdr:x>
      <cdr:y>0.49725</cdr:y>
    </cdr:from>
    <cdr:to>
      <cdr:x>0.224</cdr:x>
      <cdr:y>0.49725</cdr:y>
    </cdr:to>
    <cdr:sp macro="" textlink="">
      <cdr:nvSpPr>
        <cdr:cNvPr id="3029120" name="Line 128"/>
        <cdr:cNvSpPr>
          <a:spLocks xmlns:a="http://schemas.openxmlformats.org/drawingml/2006/main" noChangeShapeType="1"/>
        </cdr:cNvSpPr>
      </cdr:nvSpPr>
      <cdr:spPr bwMode="auto">
        <a:xfrm xmlns:a="http://schemas.openxmlformats.org/drawingml/2006/main">
          <a:off x="2253977" y="4362138"/>
          <a:ext cx="80133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0.02525</cdr:x>
      <cdr:y>0.49825</cdr:y>
    </cdr:from>
    <cdr:to>
      <cdr:x>0.08425</cdr:x>
      <cdr:y>0.49825</cdr:y>
    </cdr:to>
    <cdr:sp macro="" textlink="">
      <cdr:nvSpPr>
        <cdr:cNvPr id="3029121" name="Line 129"/>
        <cdr:cNvSpPr>
          <a:spLocks xmlns:a="http://schemas.openxmlformats.org/drawingml/2006/main" noChangeShapeType="1"/>
        </cdr:cNvSpPr>
      </cdr:nvSpPr>
      <cdr:spPr bwMode="auto">
        <a:xfrm xmlns:a="http://schemas.openxmlformats.org/drawingml/2006/main" flipV="1">
          <a:off x="344405" y="4370911"/>
          <a:ext cx="80474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0.3195</cdr:x>
      <cdr:y>0.31325</cdr:y>
    </cdr:from>
    <cdr:to>
      <cdr:x>0.362</cdr:x>
      <cdr:y>0.37</cdr:y>
    </cdr:to>
    <cdr:grpSp>
      <cdr:nvGrpSpPr>
        <cdr:cNvPr id="18077367" name="Group 138">
          <a:extLst xmlns:a="http://schemas.openxmlformats.org/drawingml/2006/main">
            <a:ext uri="{FF2B5EF4-FFF2-40B4-BE49-F238E27FC236}">
              <a16:creationId xmlns:a16="http://schemas.microsoft.com/office/drawing/2014/main" id="{49B10C45-09DD-2E80-AC73-1FCB270B9EAE}"/>
            </a:ext>
          </a:extLst>
        </cdr:cNvPr>
        <cdr:cNvGrpSpPr>
          <a:grpSpLocks xmlns:a="http://schemas.openxmlformats.org/drawingml/2006/main"/>
        </cdr:cNvGrpSpPr>
      </cdr:nvGrpSpPr>
      <cdr:grpSpPr bwMode="auto">
        <a:xfrm xmlns:a="http://schemas.openxmlformats.org/drawingml/2006/main">
          <a:off x="4351830" y="2739042"/>
          <a:ext cx="578882" cy="496220"/>
          <a:chOff x="367465" y="2097243"/>
          <a:chExt cx="781069" cy="787089"/>
        </a:xfrm>
      </cdr:grpSpPr>
      <cdr:sp macro="" textlink="">
        <cdr:nvSpPr>
          <cdr:cNvPr id="3029131" name="Oval 139"/>
          <cdr:cNvSpPr>
            <a:spLocks xmlns:a="http://schemas.openxmlformats.org/drawingml/2006/main" noChangeArrowheads="1"/>
          </cdr:cNvSpPr>
        </cdr:nvSpPr>
        <cdr:spPr bwMode="auto">
          <a:xfrm xmlns:a="http://schemas.openxmlformats.org/drawingml/2006/main">
            <a:off x="367465" y="2097243"/>
            <a:ext cx="781069" cy="787089"/>
          </a:xfrm>
          <a:prstGeom xmlns:a="http://schemas.openxmlformats.org/drawingml/2006/main" prst="ellips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nvGrpSpPr>
          <cdr:cNvPr id="18077371" name="Group 140">
            <a:extLst xmlns:a="http://schemas.openxmlformats.org/drawingml/2006/main">
              <a:ext uri="{FF2B5EF4-FFF2-40B4-BE49-F238E27FC236}">
                <a16:creationId xmlns:a16="http://schemas.microsoft.com/office/drawing/2014/main" id="{89BD747F-6684-2B17-50B6-9FF093092AEE}"/>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grpSp>
      <cdr:grpSp>
        <cdr:nvGrpSpPr>
          <cdr:cNvPr id="18499349" name="Group 140">
            <a:extLst xmlns:a="http://schemas.openxmlformats.org/drawingml/2006/main">
              <a:ext uri="{FF2B5EF4-FFF2-40B4-BE49-F238E27FC236}">
                <a16:creationId xmlns:a16="http://schemas.microsoft.com/office/drawing/2014/main" id="{BBC20FD7-2153-229A-FD2A-98EDDF52F72A}"/>
              </a:ext>
            </a:extLst>
          </cdr:cNvPr>
          <cdr:cNvGrpSpPr>
            <a:grpSpLocks xmlns:a="http://schemas.openxmlformats.org/drawingml/2006/main"/>
          </cdr:cNvGrpSpPr>
        </cdr:nvGrpSpPr>
        <cdr:grpSpPr bwMode="auto">
          <a:xfrm xmlns:a="http://schemas.openxmlformats.org/drawingml/2006/main">
            <a:off x="500939" y="2254163"/>
            <a:ext cx="514121" cy="328784"/>
            <a:chOff x="1748342" y="2879350"/>
            <a:chExt cx="514122" cy="328784"/>
          </a:xfrm>
        </cdr:grpSpPr>
        <cdr:sp macro="" textlink="">
          <cdr:nvSpPr>
            <cdr:cNvPr id="3029133" name="Line 141"/>
            <cdr:cNvSpPr>
              <a:spLocks xmlns:a="http://schemas.openxmlformats.org/drawingml/2006/main" noChangeShapeType="1"/>
            </cdr:cNvSpPr>
          </cdr:nvSpPr>
          <cdr:spPr bwMode="auto">
            <a:xfrm xmlns:a="http://schemas.openxmlformats.org/drawingml/2006/main">
              <a:off x="2013642" y="2879350"/>
              <a:ext cx="1648" cy="266515"/>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34" name="Line 142"/>
            <cdr:cNvSpPr>
              <a:spLocks xmlns:a="http://schemas.openxmlformats.org/drawingml/2006/main" noChangeShapeType="1"/>
            </cdr:cNvSpPr>
          </cdr:nvSpPr>
          <cdr:spPr bwMode="auto">
            <a:xfrm xmlns:a="http://schemas.openxmlformats.org/drawingml/2006/main" rot="-25255267">
              <a:off x="2126096" y="3064295"/>
              <a:ext cx="2491" cy="27024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35" name="Line 143"/>
            <cdr:cNvSpPr>
              <a:spLocks xmlns:a="http://schemas.openxmlformats.org/drawingml/2006/main" noChangeShapeType="1"/>
            </cdr:cNvSpPr>
          </cdr:nvSpPr>
          <cdr:spPr bwMode="auto">
            <a:xfrm xmlns:a="http://schemas.openxmlformats.org/drawingml/2006/main" rot="3655267" flipH="1">
              <a:off x="1879325" y="3072170"/>
              <a:ext cx="4981" cy="26694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grpSp>
  </cdr:relSizeAnchor>
  <cdr:relSizeAnchor xmlns:cdr="http://schemas.openxmlformats.org/drawingml/2006/chartDrawing">
    <cdr:from>
      <cdr:x>0.35625</cdr:x>
      <cdr:y>0.31225</cdr:y>
    </cdr:from>
    <cdr:to>
      <cdr:x>0.3995</cdr:x>
      <cdr:y>0.369</cdr:y>
    </cdr:to>
    <cdr:grpSp>
      <cdr:nvGrpSpPr>
        <cdr:cNvPr id="18077368" name="Group 148">
          <a:extLst xmlns:a="http://schemas.openxmlformats.org/drawingml/2006/main">
            <a:ext uri="{FF2B5EF4-FFF2-40B4-BE49-F238E27FC236}">
              <a16:creationId xmlns:a16="http://schemas.microsoft.com/office/drawing/2014/main" id="{EE5EE6CB-0C97-0C2B-1AAF-E09E63720757}"/>
            </a:ext>
          </a:extLst>
        </cdr:cNvPr>
        <cdr:cNvGrpSpPr>
          <a:grpSpLocks xmlns:a="http://schemas.openxmlformats.org/drawingml/2006/main"/>
        </cdr:cNvGrpSpPr>
      </cdr:nvGrpSpPr>
      <cdr:grpSpPr bwMode="auto">
        <a:xfrm xmlns:a="http://schemas.openxmlformats.org/drawingml/2006/main">
          <a:off x="4852392" y="2730298"/>
          <a:ext cx="589098" cy="496220"/>
          <a:chOff x="4848987" y="2725141"/>
          <a:chExt cx="592503" cy="495678"/>
        </a:xfrm>
      </cdr:grpSpPr>
      <cdr:sp macro="" textlink="">
        <cdr:nvSpPr>
          <cdr:cNvPr id="3029125" name="Oval 133"/>
          <cdr:cNvSpPr>
            <a:spLocks xmlns:a="http://schemas.openxmlformats.org/drawingml/2006/main" noChangeArrowheads="1"/>
          </cdr:cNvSpPr>
        </cdr:nvSpPr>
        <cdr:spPr bwMode="auto">
          <a:xfrm xmlns:a="http://schemas.openxmlformats.org/drawingml/2006/main">
            <a:off x="4848987" y="2725141"/>
            <a:ext cx="592503" cy="495678"/>
          </a:xfrm>
          <a:prstGeom xmlns:a="http://schemas.openxmlformats.org/drawingml/2006/main" prst="ellips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37" name="AutoShape 145"/>
          <cdr:cNvSpPr>
            <a:spLocks xmlns:a="http://schemas.openxmlformats.org/drawingml/2006/main" noChangeArrowheads="1"/>
          </cdr:cNvSpPr>
        </cdr:nvSpPr>
        <cdr:spPr bwMode="auto">
          <a:xfrm xmlns:a="http://schemas.openxmlformats.org/drawingml/2006/main">
            <a:off x="5032867" y="2845239"/>
            <a:ext cx="262200" cy="187790"/>
          </a:xfrm>
          <a:prstGeom xmlns:a="http://schemas.openxmlformats.org/drawingml/2006/main" prst="triangle">
            <a:avLst>
              <a:gd name="adj" fmla="val 50000"/>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0.4005</cdr:x>
      <cdr:y>0.34275</cdr:y>
    </cdr:from>
    <cdr:to>
      <cdr:x>0.4585</cdr:x>
      <cdr:y>0.34275</cdr:y>
    </cdr:to>
    <cdr:sp macro="" textlink="">
      <cdr:nvSpPr>
        <cdr:cNvPr id="3029138" name="Line 146"/>
        <cdr:cNvSpPr>
          <a:spLocks xmlns:a="http://schemas.openxmlformats.org/drawingml/2006/main" noChangeShapeType="1"/>
        </cdr:cNvSpPr>
      </cdr:nvSpPr>
      <cdr:spPr bwMode="auto">
        <a:xfrm xmlns:a="http://schemas.openxmlformats.org/drawingml/2006/main">
          <a:off x="5462740" y="3006783"/>
          <a:ext cx="79110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0.26075</cdr:x>
      <cdr:y>0.34275</cdr:y>
    </cdr:from>
    <cdr:to>
      <cdr:x>0.3195</cdr:x>
      <cdr:y>0.34275</cdr:y>
    </cdr:to>
    <cdr:sp macro="" textlink="">
      <cdr:nvSpPr>
        <cdr:cNvPr id="3029139" name="Line 147"/>
        <cdr:cNvSpPr>
          <a:spLocks xmlns:a="http://schemas.openxmlformats.org/drawingml/2006/main" noChangeShapeType="1"/>
        </cdr:cNvSpPr>
      </cdr:nvSpPr>
      <cdr:spPr bwMode="auto">
        <a:xfrm xmlns:a="http://schemas.openxmlformats.org/drawingml/2006/main">
          <a:off x="3556578" y="3006783"/>
          <a:ext cx="80133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0.27325</cdr:x>
      <cdr:y>0.2085</cdr:y>
    </cdr:from>
    <cdr:to>
      <cdr:x>0.282</cdr:x>
      <cdr:y>0.235</cdr:y>
    </cdr:to>
    <cdr:grpSp>
      <cdr:nvGrpSpPr>
        <cdr:cNvPr id="18077369" name="Group 150">
          <a:extLst xmlns:a="http://schemas.openxmlformats.org/drawingml/2006/main">
            <a:ext uri="{FF2B5EF4-FFF2-40B4-BE49-F238E27FC236}">
              <a16:creationId xmlns:a16="http://schemas.microsoft.com/office/drawing/2014/main" id="{75AC6D7F-3529-56E4-D1B0-9A970E66258D}"/>
            </a:ext>
          </a:extLst>
        </cdr:cNvPr>
        <cdr:cNvGrpSpPr>
          <a:grpSpLocks xmlns:a="http://schemas.openxmlformats.org/drawingml/2006/main"/>
        </cdr:cNvGrpSpPr>
      </cdr:nvGrpSpPr>
      <cdr:grpSpPr bwMode="auto">
        <a:xfrm xmlns:a="http://schemas.openxmlformats.org/drawingml/2006/main">
          <a:off x="3721870" y="1823114"/>
          <a:ext cx="119182" cy="231714"/>
          <a:chOff x="7419904" y="1818944"/>
          <a:chExt cx="115776" cy="229279"/>
        </a:xfrm>
      </cdr:grpSpPr>
      <cdr:sp macro="" textlink="">
        <cdr:nvSpPr>
          <cdr:cNvPr id="3029143" name="Line 151"/>
          <cdr:cNvSpPr>
            <a:spLocks xmlns:a="http://schemas.openxmlformats.org/drawingml/2006/main" noChangeShapeType="1"/>
          </cdr:cNvSpPr>
        </cdr:nvSpPr>
        <cdr:spPr bwMode="auto">
          <a:xfrm xmlns:a="http://schemas.openxmlformats.org/drawingml/2006/main" rot="5400000" flipV="1">
            <a:off x="7363152" y="1879101"/>
            <a:ext cx="229279" cy="108966"/>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sp macro="" textlink="">
        <cdr:nvSpPr>
          <cdr:cNvPr id="3029144" name="Freeform 152"/>
          <cdr:cNvSpPr>
            <a:spLocks xmlns:a="http://schemas.openxmlformats.org/drawingml/2006/main"/>
          </cdr:cNvSpPr>
        </cdr:nvSpPr>
        <cdr:spPr bwMode="auto">
          <a:xfrm xmlns:a="http://schemas.openxmlformats.org/drawingml/2006/main" rot="5400000" flipV="1">
            <a:off x="7363152" y="1875696"/>
            <a:ext cx="229279" cy="115776"/>
          </a:xfrm>
          <a:custGeom xmlns:a="http://schemas.openxmlformats.org/drawingml/2006/main">
            <a:avLst/>
            <a:gdLst>
              <a:gd name="T0" fmla="*/ 0 w 181065"/>
              <a:gd name="T1" fmla="*/ 10322 h 253290"/>
              <a:gd name="T2" fmla="*/ 71473 w 181065"/>
              <a:gd name="T3" fmla="*/ 19850 h 253290"/>
              <a:gd name="T4" fmla="*/ 90532 w 181065"/>
              <a:gd name="T5" fmla="*/ 129424 h 253290"/>
              <a:gd name="T6" fmla="*/ 104827 w 181065"/>
              <a:gd name="T7" fmla="*/ 234234 h 253290"/>
              <a:gd name="T8" fmla="*/ 181065 w 181065"/>
              <a:gd name="T9" fmla="*/ 243762 h 253290"/>
            </a:gdLst>
            <a:ahLst/>
            <a:cxnLst>
              <a:cxn ang="0">
                <a:pos x="T0" y="T1"/>
              </a:cxn>
              <a:cxn ang="0">
                <a:pos x="T2" y="T3"/>
              </a:cxn>
              <a:cxn ang="0">
                <a:pos x="T4" y="T5"/>
              </a:cxn>
              <a:cxn ang="0">
                <a:pos x="T6" y="T7"/>
              </a:cxn>
              <a:cxn ang="0">
                <a:pos x="T8" y="T9"/>
              </a:cxn>
            </a:cxnLst>
            <a:rect l="0" t="0" r="r" b="b"/>
            <a:pathLst>
              <a:path w="181065" h="253290">
                <a:moveTo>
                  <a:pt x="0" y="10322"/>
                </a:moveTo>
                <a:cubicBezTo>
                  <a:pt x="28192" y="5161"/>
                  <a:pt x="56384" y="0"/>
                  <a:pt x="71473" y="19850"/>
                </a:cubicBezTo>
                <a:cubicBezTo>
                  <a:pt x="86562" y="39700"/>
                  <a:pt x="84973" y="93693"/>
                  <a:pt x="90532" y="129424"/>
                </a:cubicBezTo>
                <a:cubicBezTo>
                  <a:pt x="96091" y="165155"/>
                  <a:pt x="89738" y="215178"/>
                  <a:pt x="104827" y="234234"/>
                </a:cubicBezTo>
                <a:cubicBezTo>
                  <a:pt x="119916" y="253290"/>
                  <a:pt x="150490" y="248526"/>
                  <a:pt x="181065" y="243762"/>
                </a:cubicBezTo>
              </a:path>
            </a:pathLst>
          </a:cu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cdr:spPr>
        <cdr:txBody>
          <a:bodyPr xmlns:a="http://schemas.openxmlformats.org/drawingml/2006/main"/>
          <a:lstStyle xmlns:a="http://schemas.openxmlformats.org/drawingml/2006/main"/>
          <a:p xmlns:a="http://schemas.openxmlformats.org/drawingml/2006/main">
            <a:endParaRPr lang="en-AU"/>
          </a:p>
        </cdr:txBody>
      </cdr:sp>
    </cdr:grpSp>
  </cdr:relSizeAnchor>
  <cdr:relSizeAnchor xmlns:cdr="http://schemas.openxmlformats.org/drawingml/2006/chartDrawing">
    <cdr:from>
      <cdr:x>0.5925</cdr:x>
      <cdr:y>0.593</cdr:y>
    </cdr:from>
    <cdr:to>
      <cdr:x>0.943</cdr:x>
      <cdr:y>0.9905</cdr:y>
    </cdr:to>
    <cdr:pic>
      <cdr:nvPicPr>
        <cdr:cNvPr id="3029145" name="Picture 153">
          <a:extLst xmlns:a="http://schemas.openxmlformats.org/drawingml/2006/main">
            <a:ext uri="{FF2B5EF4-FFF2-40B4-BE49-F238E27FC236}">
              <a16:creationId xmlns:a16="http://schemas.microsoft.com/office/drawing/2014/main" id="{3B8C4F1A-12A6-FF1C-71A2-F62873A29D46}"/>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8081582" y="5202107"/>
          <a:ext cx="4780749" cy="3487079"/>
        </a:xfrm>
        <a:prstGeom xmlns:a="http://schemas.openxmlformats.org/drawingml/2006/main" prst="rect">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pic>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83.xml"/><Relationship Id="rId21" Type="http://schemas.openxmlformats.org/officeDocument/2006/relationships/ctrlProp" Target="../ctrlProps/ctrlProp78.xml"/><Relationship Id="rId42" Type="http://schemas.openxmlformats.org/officeDocument/2006/relationships/ctrlProp" Target="../ctrlProps/ctrlProp99.xml"/><Relationship Id="rId47" Type="http://schemas.openxmlformats.org/officeDocument/2006/relationships/ctrlProp" Target="../ctrlProps/ctrlProp104.xml"/><Relationship Id="rId63" Type="http://schemas.openxmlformats.org/officeDocument/2006/relationships/ctrlProp" Target="../ctrlProps/ctrlProp120.xml"/><Relationship Id="rId68" Type="http://schemas.openxmlformats.org/officeDocument/2006/relationships/ctrlProp" Target="../ctrlProps/ctrlProp125.xml"/><Relationship Id="rId84" Type="http://schemas.openxmlformats.org/officeDocument/2006/relationships/ctrlProp" Target="../ctrlProps/ctrlProp141.xml"/><Relationship Id="rId89" Type="http://schemas.openxmlformats.org/officeDocument/2006/relationships/ctrlProp" Target="../ctrlProps/ctrlProp146.xml"/><Relationship Id="rId16" Type="http://schemas.openxmlformats.org/officeDocument/2006/relationships/ctrlProp" Target="../ctrlProps/ctrlProp73.xml"/><Relationship Id="rId107" Type="http://schemas.openxmlformats.org/officeDocument/2006/relationships/ctrlProp" Target="../ctrlProps/ctrlProp164.xml"/><Relationship Id="rId11" Type="http://schemas.openxmlformats.org/officeDocument/2006/relationships/ctrlProp" Target="../ctrlProps/ctrlProp68.xml"/><Relationship Id="rId32" Type="http://schemas.openxmlformats.org/officeDocument/2006/relationships/ctrlProp" Target="../ctrlProps/ctrlProp89.xml"/><Relationship Id="rId37" Type="http://schemas.openxmlformats.org/officeDocument/2006/relationships/ctrlProp" Target="../ctrlProps/ctrlProp94.xml"/><Relationship Id="rId53" Type="http://schemas.openxmlformats.org/officeDocument/2006/relationships/ctrlProp" Target="../ctrlProps/ctrlProp110.xml"/><Relationship Id="rId58" Type="http://schemas.openxmlformats.org/officeDocument/2006/relationships/ctrlProp" Target="../ctrlProps/ctrlProp115.xml"/><Relationship Id="rId74" Type="http://schemas.openxmlformats.org/officeDocument/2006/relationships/ctrlProp" Target="../ctrlProps/ctrlProp131.xml"/><Relationship Id="rId79" Type="http://schemas.openxmlformats.org/officeDocument/2006/relationships/ctrlProp" Target="../ctrlProps/ctrlProp136.xml"/><Relationship Id="rId102" Type="http://schemas.openxmlformats.org/officeDocument/2006/relationships/ctrlProp" Target="../ctrlProps/ctrlProp159.xml"/><Relationship Id="rId5" Type="http://schemas.openxmlformats.org/officeDocument/2006/relationships/ctrlProp" Target="../ctrlProps/ctrlProp62.xml"/><Relationship Id="rId90" Type="http://schemas.openxmlformats.org/officeDocument/2006/relationships/ctrlProp" Target="../ctrlProps/ctrlProp147.xml"/><Relationship Id="rId95" Type="http://schemas.openxmlformats.org/officeDocument/2006/relationships/ctrlProp" Target="../ctrlProps/ctrlProp152.xml"/><Relationship Id="rId22" Type="http://schemas.openxmlformats.org/officeDocument/2006/relationships/ctrlProp" Target="../ctrlProps/ctrlProp79.xml"/><Relationship Id="rId27" Type="http://schemas.openxmlformats.org/officeDocument/2006/relationships/ctrlProp" Target="../ctrlProps/ctrlProp84.xml"/><Relationship Id="rId43" Type="http://schemas.openxmlformats.org/officeDocument/2006/relationships/ctrlProp" Target="../ctrlProps/ctrlProp100.xml"/><Relationship Id="rId48" Type="http://schemas.openxmlformats.org/officeDocument/2006/relationships/ctrlProp" Target="../ctrlProps/ctrlProp105.xml"/><Relationship Id="rId64" Type="http://schemas.openxmlformats.org/officeDocument/2006/relationships/ctrlProp" Target="../ctrlProps/ctrlProp121.xml"/><Relationship Id="rId69" Type="http://schemas.openxmlformats.org/officeDocument/2006/relationships/ctrlProp" Target="../ctrlProps/ctrlProp126.xml"/><Relationship Id="rId80" Type="http://schemas.openxmlformats.org/officeDocument/2006/relationships/ctrlProp" Target="../ctrlProps/ctrlProp137.xml"/><Relationship Id="rId85" Type="http://schemas.openxmlformats.org/officeDocument/2006/relationships/ctrlProp" Target="../ctrlProps/ctrlProp142.xml"/><Relationship Id="rId12" Type="http://schemas.openxmlformats.org/officeDocument/2006/relationships/ctrlProp" Target="../ctrlProps/ctrlProp69.xml"/><Relationship Id="rId17" Type="http://schemas.openxmlformats.org/officeDocument/2006/relationships/ctrlProp" Target="../ctrlProps/ctrlProp74.xml"/><Relationship Id="rId33" Type="http://schemas.openxmlformats.org/officeDocument/2006/relationships/ctrlProp" Target="../ctrlProps/ctrlProp90.xml"/><Relationship Id="rId38" Type="http://schemas.openxmlformats.org/officeDocument/2006/relationships/ctrlProp" Target="../ctrlProps/ctrlProp95.xml"/><Relationship Id="rId59" Type="http://schemas.openxmlformats.org/officeDocument/2006/relationships/ctrlProp" Target="../ctrlProps/ctrlProp116.xml"/><Relationship Id="rId103" Type="http://schemas.openxmlformats.org/officeDocument/2006/relationships/ctrlProp" Target="../ctrlProps/ctrlProp160.xml"/><Relationship Id="rId108" Type="http://schemas.openxmlformats.org/officeDocument/2006/relationships/ctrlProp" Target="../ctrlProps/ctrlProp165.xml"/><Relationship Id="rId54" Type="http://schemas.openxmlformats.org/officeDocument/2006/relationships/ctrlProp" Target="../ctrlProps/ctrlProp111.xml"/><Relationship Id="rId70" Type="http://schemas.openxmlformats.org/officeDocument/2006/relationships/ctrlProp" Target="../ctrlProps/ctrlProp127.xml"/><Relationship Id="rId75" Type="http://schemas.openxmlformats.org/officeDocument/2006/relationships/ctrlProp" Target="../ctrlProps/ctrlProp132.xml"/><Relationship Id="rId91" Type="http://schemas.openxmlformats.org/officeDocument/2006/relationships/ctrlProp" Target="../ctrlProps/ctrlProp148.xml"/><Relationship Id="rId96" Type="http://schemas.openxmlformats.org/officeDocument/2006/relationships/ctrlProp" Target="../ctrlProps/ctrlProp153.xml"/><Relationship Id="rId1" Type="http://schemas.openxmlformats.org/officeDocument/2006/relationships/printerSettings" Target="../printerSettings/printerSettings4.bin"/><Relationship Id="rId6" Type="http://schemas.openxmlformats.org/officeDocument/2006/relationships/ctrlProp" Target="../ctrlProps/ctrlProp63.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ctrlProp" Target="../ctrlProps/ctrlProp106.xml"/><Relationship Id="rId57" Type="http://schemas.openxmlformats.org/officeDocument/2006/relationships/ctrlProp" Target="../ctrlProps/ctrlProp114.xml"/><Relationship Id="rId106" Type="http://schemas.openxmlformats.org/officeDocument/2006/relationships/ctrlProp" Target="../ctrlProps/ctrlProp163.xml"/><Relationship Id="rId10" Type="http://schemas.openxmlformats.org/officeDocument/2006/relationships/ctrlProp" Target="../ctrlProps/ctrlProp67.xml"/><Relationship Id="rId31" Type="http://schemas.openxmlformats.org/officeDocument/2006/relationships/ctrlProp" Target="../ctrlProps/ctrlProp88.xml"/><Relationship Id="rId44" Type="http://schemas.openxmlformats.org/officeDocument/2006/relationships/ctrlProp" Target="../ctrlProps/ctrlProp101.xml"/><Relationship Id="rId52" Type="http://schemas.openxmlformats.org/officeDocument/2006/relationships/ctrlProp" Target="../ctrlProps/ctrlProp109.xml"/><Relationship Id="rId60" Type="http://schemas.openxmlformats.org/officeDocument/2006/relationships/ctrlProp" Target="../ctrlProps/ctrlProp117.xml"/><Relationship Id="rId65" Type="http://schemas.openxmlformats.org/officeDocument/2006/relationships/ctrlProp" Target="../ctrlProps/ctrlProp122.xml"/><Relationship Id="rId73" Type="http://schemas.openxmlformats.org/officeDocument/2006/relationships/ctrlProp" Target="../ctrlProps/ctrlProp130.xml"/><Relationship Id="rId78" Type="http://schemas.openxmlformats.org/officeDocument/2006/relationships/ctrlProp" Target="../ctrlProps/ctrlProp135.xml"/><Relationship Id="rId81" Type="http://schemas.openxmlformats.org/officeDocument/2006/relationships/ctrlProp" Target="../ctrlProps/ctrlProp138.xml"/><Relationship Id="rId86" Type="http://schemas.openxmlformats.org/officeDocument/2006/relationships/ctrlProp" Target="../ctrlProps/ctrlProp143.xml"/><Relationship Id="rId94" Type="http://schemas.openxmlformats.org/officeDocument/2006/relationships/ctrlProp" Target="../ctrlProps/ctrlProp151.xml"/><Relationship Id="rId99" Type="http://schemas.openxmlformats.org/officeDocument/2006/relationships/ctrlProp" Target="../ctrlProps/ctrlProp156.xml"/><Relationship Id="rId101" Type="http://schemas.openxmlformats.org/officeDocument/2006/relationships/ctrlProp" Target="../ctrlProps/ctrlProp158.xml"/><Relationship Id="rId4" Type="http://schemas.openxmlformats.org/officeDocument/2006/relationships/ctrlProp" Target="../ctrlProps/ctrlProp61.xml"/><Relationship Id="rId9" Type="http://schemas.openxmlformats.org/officeDocument/2006/relationships/ctrlProp" Target="../ctrlProps/ctrlProp66.xml"/><Relationship Id="rId13" Type="http://schemas.openxmlformats.org/officeDocument/2006/relationships/ctrlProp" Target="../ctrlProps/ctrlProp70.xml"/><Relationship Id="rId18" Type="http://schemas.openxmlformats.org/officeDocument/2006/relationships/ctrlProp" Target="../ctrlProps/ctrlProp75.xml"/><Relationship Id="rId39" Type="http://schemas.openxmlformats.org/officeDocument/2006/relationships/ctrlProp" Target="../ctrlProps/ctrlProp96.xml"/><Relationship Id="rId109" Type="http://schemas.openxmlformats.org/officeDocument/2006/relationships/ctrlProp" Target="../ctrlProps/ctrlProp166.xml"/><Relationship Id="rId34" Type="http://schemas.openxmlformats.org/officeDocument/2006/relationships/ctrlProp" Target="../ctrlProps/ctrlProp91.xml"/><Relationship Id="rId50" Type="http://schemas.openxmlformats.org/officeDocument/2006/relationships/ctrlProp" Target="../ctrlProps/ctrlProp107.xml"/><Relationship Id="rId55" Type="http://schemas.openxmlformats.org/officeDocument/2006/relationships/ctrlProp" Target="../ctrlProps/ctrlProp112.xml"/><Relationship Id="rId76" Type="http://schemas.openxmlformats.org/officeDocument/2006/relationships/ctrlProp" Target="../ctrlProps/ctrlProp133.xml"/><Relationship Id="rId97" Type="http://schemas.openxmlformats.org/officeDocument/2006/relationships/ctrlProp" Target="../ctrlProps/ctrlProp154.xml"/><Relationship Id="rId104" Type="http://schemas.openxmlformats.org/officeDocument/2006/relationships/ctrlProp" Target="../ctrlProps/ctrlProp161.xml"/><Relationship Id="rId7" Type="http://schemas.openxmlformats.org/officeDocument/2006/relationships/ctrlProp" Target="../ctrlProps/ctrlProp64.xml"/><Relationship Id="rId71" Type="http://schemas.openxmlformats.org/officeDocument/2006/relationships/ctrlProp" Target="../ctrlProps/ctrlProp128.xml"/><Relationship Id="rId92" Type="http://schemas.openxmlformats.org/officeDocument/2006/relationships/ctrlProp" Target="../ctrlProps/ctrlProp149.xml"/><Relationship Id="rId2" Type="http://schemas.openxmlformats.org/officeDocument/2006/relationships/drawing" Target="../drawings/drawing4.xml"/><Relationship Id="rId29" Type="http://schemas.openxmlformats.org/officeDocument/2006/relationships/ctrlProp" Target="../ctrlProps/ctrlProp86.xml"/><Relationship Id="rId24" Type="http://schemas.openxmlformats.org/officeDocument/2006/relationships/ctrlProp" Target="../ctrlProps/ctrlProp81.xml"/><Relationship Id="rId40" Type="http://schemas.openxmlformats.org/officeDocument/2006/relationships/ctrlProp" Target="../ctrlProps/ctrlProp97.xml"/><Relationship Id="rId45" Type="http://schemas.openxmlformats.org/officeDocument/2006/relationships/ctrlProp" Target="../ctrlProps/ctrlProp102.xml"/><Relationship Id="rId66" Type="http://schemas.openxmlformats.org/officeDocument/2006/relationships/ctrlProp" Target="../ctrlProps/ctrlProp123.xml"/><Relationship Id="rId87" Type="http://schemas.openxmlformats.org/officeDocument/2006/relationships/ctrlProp" Target="../ctrlProps/ctrlProp144.xml"/><Relationship Id="rId110" Type="http://schemas.openxmlformats.org/officeDocument/2006/relationships/ctrlProp" Target="../ctrlProps/ctrlProp167.xml"/><Relationship Id="rId61" Type="http://schemas.openxmlformats.org/officeDocument/2006/relationships/ctrlProp" Target="../ctrlProps/ctrlProp118.xml"/><Relationship Id="rId82" Type="http://schemas.openxmlformats.org/officeDocument/2006/relationships/ctrlProp" Target="../ctrlProps/ctrlProp139.xml"/><Relationship Id="rId19" Type="http://schemas.openxmlformats.org/officeDocument/2006/relationships/ctrlProp" Target="../ctrlProps/ctrlProp76.xml"/><Relationship Id="rId14" Type="http://schemas.openxmlformats.org/officeDocument/2006/relationships/ctrlProp" Target="../ctrlProps/ctrlProp71.xml"/><Relationship Id="rId30" Type="http://schemas.openxmlformats.org/officeDocument/2006/relationships/ctrlProp" Target="../ctrlProps/ctrlProp87.xml"/><Relationship Id="rId35" Type="http://schemas.openxmlformats.org/officeDocument/2006/relationships/ctrlProp" Target="../ctrlProps/ctrlProp92.xml"/><Relationship Id="rId56" Type="http://schemas.openxmlformats.org/officeDocument/2006/relationships/ctrlProp" Target="../ctrlProps/ctrlProp113.xml"/><Relationship Id="rId77" Type="http://schemas.openxmlformats.org/officeDocument/2006/relationships/ctrlProp" Target="../ctrlProps/ctrlProp134.xml"/><Relationship Id="rId100" Type="http://schemas.openxmlformats.org/officeDocument/2006/relationships/ctrlProp" Target="../ctrlProps/ctrlProp157.xml"/><Relationship Id="rId105" Type="http://schemas.openxmlformats.org/officeDocument/2006/relationships/ctrlProp" Target="../ctrlProps/ctrlProp162.xml"/><Relationship Id="rId8" Type="http://schemas.openxmlformats.org/officeDocument/2006/relationships/ctrlProp" Target="../ctrlProps/ctrlProp65.xml"/><Relationship Id="rId51" Type="http://schemas.openxmlformats.org/officeDocument/2006/relationships/ctrlProp" Target="../ctrlProps/ctrlProp108.xml"/><Relationship Id="rId72" Type="http://schemas.openxmlformats.org/officeDocument/2006/relationships/ctrlProp" Target="../ctrlProps/ctrlProp129.xml"/><Relationship Id="rId93" Type="http://schemas.openxmlformats.org/officeDocument/2006/relationships/ctrlProp" Target="../ctrlProps/ctrlProp150.xml"/><Relationship Id="rId98" Type="http://schemas.openxmlformats.org/officeDocument/2006/relationships/ctrlProp" Target="../ctrlProps/ctrlProp155.xml"/><Relationship Id="rId3" Type="http://schemas.openxmlformats.org/officeDocument/2006/relationships/vmlDrawing" Target="../drawings/vmlDrawing2.vml"/><Relationship Id="rId25" Type="http://schemas.openxmlformats.org/officeDocument/2006/relationships/ctrlProp" Target="../ctrlProps/ctrlProp82.xml"/><Relationship Id="rId46" Type="http://schemas.openxmlformats.org/officeDocument/2006/relationships/ctrlProp" Target="../ctrlProps/ctrlProp103.xml"/><Relationship Id="rId67" Type="http://schemas.openxmlformats.org/officeDocument/2006/relationships/ctrlProp" Target="../ctrlProps/ctrlProp124.xml"/><Relationship Id="rId20" Type="http://schemas.openxmlformats.org/officeDocument/2006/relationships/ctrlProp" Target="../ctrlProps/ctrlProp77.xml"/><Relationship Id="rId41" Type="http://schemas.openxmlformats.org/officeDocument/2006/relationships/ctrlProp" Target="../ctrlProps/ctrlProp98.xml"/><Relationship Id="rId62" Type="http://schemas.openxmlformats.org/officeDocument/2006/relationships/ctrlProp" Target="../ctrlProps/ctrlProp119.xml"/><Relationship Id="rId83" Type="http://schemas.openxmlformats.org/officeDocument/2006/relationships/ctrlProp" Target="../ctrlProps/ctrlProp140.xml"/><Relationship Id="rId88" Type="http://schemas.openxmlformats.org/officeDocument/2006/relationships/ctrlProp" Target="../ctrlProps/ctrlProp145.xml"/><Relationship Id="rId111" Type="http://schemas.openxmlformats.org/officeDocument/2006/relationships/ctrlProp" Target="../ctrlProps/ctrlProp16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3.xml"/><Relationship Id="rId13" Type="http://schemas.openxmlformats.org/officeDocument/2006/relationships/ctrlProp" Target="../ctrlProps/ctrlProp178.xml"/><Relationship Id="rId18" Type="http://schemas.openxmlformats.org/officeDocument/2006/relationships/ctrlProp" Target="../ctrlProps/ctrlProp183.xml"/><Relationship Id="rId26" Type="http://schemas.openxmlformats.org/officeDocument/2006/relationships/ctrlProp" Target="../ctrlProps/ctrlProp191.xml"/><Relationship Id="rId3" Type="http://schemas.openxmlformats.org/officeDocument/2006/relationships/vmlDrawing" Target="../drawings/vmlDrawing3.vml"/><Relationship Id="rId21" Type="http://schemas.openxmlformats.org/officeDocument/2006/relationships/ctrlProp" Target="../ctrlProps/ctrlProp186.xml"/><Relationship Id="rId7" Type="http://schemas.openxmlformats.org/officeDocument/2006/relationships/ctrlProp" Target="../ctrlProps/ctrlProp172.xml"/><Relationship Id="rId12" Type="http://schemas.openxmlformats.org/officeDocument/2006/relationships/ctrlProp" Target="../ctrlProps/ctrlProp177.xml"/><Relationship Id="rId17" Type="http://schemas.openxmlformats.org/officeDocument/2006/relationships/ctrlProp" Target="../ctrlProps/ctrlProp182.xml"/><Relationship Id="rId25" Type="http://schemas.openxmlformats.org/officeDocument/2006/relationships/ctrlProp" Target="../ctrlProps/ctrlProp190.xml"/><Relationship Id="rId2" Type="http://schemas.openxmlformats.org/officeDocument/2006/relationships/drawing" Target="../drawings/drawing5.xml"/><Relationship Id="rId16" Type="http://schemas.openxmlformats.org/officeDocument/2006/relationships/ctrlProp" Target="../ctrlProps/ctrlProp181.xml"/><Relationship Id="rId20" Type="http://schemas.openxmlformats.org/officeDocument/2006/relationships/ctrlProp" Target="../ctrlProps/ctrlProp185.xml"/><Relationship Id="rId29" Type="http://schemas.openxmlformats.org/officeDocument/2006/relationships/ctrlProp" Target="../ctrlProps/ctrlProp194.xml"/><Relationship Id="rId1" Type="http://schemas.openxmlformats.org/officeDocument/2006/relationships/printerSettings" Target="../printerSettings/printerSettings5.bin"/><Relationship Id="rId6" Type="http://schemas.openxmlformats.org/officeDocument/2006/relationships/ctrlProp" Target="../ctrlProps/ctrlProp171.xml"/><Relationship Id="rId11" Type="http://schemas.openxmlformats.org/officeDocument/2006/relationships/ctrlProp" Target="../ctrlProps/ctrlProp176.xml"/><Relationship Id="rId24" Type="http://schemas.openxmlformats.org/officeDocument/2006/relationships/ctrlProp" Target="../ctrlProps/ctrlProp189.xml"/><Relationship Id="rId32" Type="http://schemas.openxmlformats.org/officeDocument/2006/relationships/ctrlProp" Target="../ctrlProps/ctrlProp197.xml"/><Relationship Id="rId5" Type="http://schemas.openxmlformats.org/officeDocument/2006/relationships/ctrlProp" Target="../ctrlProps/ctrlProp170.xml"/><Relationship Id="rId15" Type="http://schemas.openxmlformats.org/officeDocument/2006/relationships/ctrlProp" Target="../ctrlProps/ctrlProp180.xml"/><Relationship Id="rId23" Type="http://schemas.openxmlformats.org/officeDocument/2006/relationships/ctrlProp" Target="../ctrlProps/ctrlProp188.xml"/><Relationship Id="rId28" Type="http://schemas.openxmlformats.org/officeDocument/2006/relationships/ctrlProp" Target="../ctrlProps/ctrlProp193.xml"/><Relationship Id="rId10" Type="http://schemas.openxmlformats.org/officeDocument/2006/relationships/ctrlProp" Target="../ctrlProps/ctrlProp175.xml"/><Relationship Id="rId19" Type="http://schemas.openxmlformats.org/officeDocument/2006/relationships/ctrlProp" Target="../ctrlProps/ctrlProp184.xml"/><Relationship Id="rId31" Type="http://schemas.openxmlformats.org/officeDocument/2006/relationships/ctrlProp" Target="../ctrlProps/ctrlProp196.xml"/><Relationship Id="rId4" Type="http://schemas.openxmlformats.org/officeDocument/2006/relationships/ctrlProp" Target="../ctrlProps/ctrlProp169.xml"/><Relationship Id="rId9" Type="http://schemas.openxmlformats.org/officeDocument/2006/relationships/ctrlProp" Target="../ctrlProps/ctrlProp174.xml"/><Relationship Id="rId14" Type="http://schemas.openxmlformats.org/officeDocument/2006/relationships/ctrlProp" Target="../ctrlProps/ctrlProp179.xml"/><Relationship Id="rId22" Type="http://schemas.openxmlformats.org/officeDocument/2006/relationships/ctrlProp" Target="../ctrlProps/ctrlProp187.xml"/><Relationship Id="rId27" Type="http://schemas.openxmlformats.org/officeDocument/2006/relationships/ctrlProp" Target="../ctrlProps/ctrlProp192.xml"/><Relationship Id="rId30" Type="http://schemas.openxmlformats.org/officeDocument/2006/relationships/ctrlProp" Target="../ctrlProps/ctrlProp19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02.xml"/><Relationship Id="rId13" Type="http://schemas.openxmlformats.org/officeDocument/2006/relationships/ctrlProp" Target="../ctrlProps/ctrlProp207.xml"/><Relationship Id="rId18" Type="http://schemas.openxmlformats.org/officeDocument/2006/relationships/ctrlProp" Target="../ctrlProps/ctrlProp212.xml"/><Relationship Id="rId3" Type="http://schemas.openxmlformats.org/officeDocument/2006/relationships/vmlDrawing" Target="../drawings/vmlDrawing4.vml"/><Relationship Id="rId21" Type="http://schemas.openxmlformats.org/officeDocument/2006/relationships/ctrlProp" Target="../ctrlProps/ctrlProp215.xml"/><Relationship Id="rId7" Type="http://schemas.openxmlformats.org/officeDocument/2006/relationships/ctrlProp" Target="../ctrlProps/ctrlProp201.xml"/><Relationship Id="rId12" Type="http://schemas.openxmlformats.org/officeDocument/2006/relationships/ctrlProp" Target="../ctrlProps/ctrlProp206.xml"/><Relationship Id="rId17" Type="http://schemas.openxmlformats.org/officeDocument/2006/relationships/ctrlProp" Target="../ctrlProps/ctrlProp211.xml"/><Relationship Id="rId2" Type="http://schemas.openxmlformats.org/officeDocument/2006/relationships/drawing" Target="../drawings/drawing6.xml"/><Relationship Id="rId16" Type="http://schemas.openxmlformats.org/officeDocument/2006/relationships/ctrlProp" Target="../ctrlProps/ctrlProp210.xml"/><Relationship Id="rId20" Type="http://schemas.openxmlformats.org/officeDocument/2006/relationships/ctrlProp" Target="../ctrlProps/ctrlProp214.xml"/><Relationship Id="rId1" Type="http://schemas.openxmlformats.org/officeDocument/2006/relationships/printerSettings" Target="../printerSettings/printerSettings6.bin"/><Relationship Id="rId6" Type="http://schemas.openxmlformats.org/officeDocument/2006/relationships/ctrlProp" Target="../ctrlProps/ctrlProp200.xml"/><Relationship Id="rId11" Type="http://schemas.openxmlformats.org/officeDocument/2006/relationships/ctrlProp" Target="../ctrlProps/ctrlProp205.xml"/><Relationship Id="rId5" Type="http://schemas.openxmlformats.org/officeDocument/2006/relationships/ctrlProp" Target="../ctrlProps/ctrlProp199.xml"/><Relationship Id="rId15" Type="http://schemas.openxmlformats.org/officeDocument/2006/relationships/ctrlProp" Target="../ctrlProps/ctrlProp209.xml"/><Relationship Id="rId10" Type="http://schemas.openxmlformats.org/officeDocument/2006/relationships/ctrlProp" Target="../ctrlProps/ctrlProp204.xml"/><Relationship Id="rId19" Type="http://schemas.openxmlformats.org/officeDocument/2006/relationships/ctrlProp" Target="../ctrlProps/ctrlProp213.xml"/><Relationship Id="rId4" Type="http://schemas.openxmlformats.org/officeDocument/2006/relationships/ctrlProp" Target="../ctrlProps/ctrlProp198.xml"/><Relationship Id="rId9" Type="http://schemas.openxmlformats.org/officeDocument/2006/relationships/ctrlProp" Target="../ctrlProps/ctrlProp203.xml"/><Relationship Id="rId14" Type="http://schemas.openxmlformats.org/officeDocument/2006/relationships/ctrlProp" Target="../ctrlProps/ctrlProp20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0.xml"/><Relationship Id="rId13" Type="http://schemas.openxmlformats.org/officeDocument/2006/relationships/ctrlProp" Target="../ctrlProps/ctrlProp225.xml"/><Relationship Id="rId18" Type="http://schemas.openxmlformats.org/officeDocument/2006/relationships/ctrlProp" Target="../ctrlProps/ctrlProp230.xml"/><Relationship Id="rId3" Type="http://schemas.openxmlformats.org/officeDocument/2006/relationships/vmlDrawing" Target="../drawings/vmlDrawing5.vml"/><Relationship Id="rId21" Type="http://schemas.openxmlformats.org/officeDocument/2006/relationships/ctrlProp" Target="../ctrlProps/ctrlProp233.xml"/><Relationship Id="rId7" Type="http://schemas.openxmlformats.org/officeDocument/2006/relationships/ctrlProp" Target="../ctrlProps/ctrlProp219.xml"/><Relationship Id="rId12" Type="http://schemas.openxmlformats.org/officeDocument/2006/relationships/ctrlProp" Target="../ctrlProps/ctrlProp224.xml"/><Relationship Id="rId17" Type="http://schemas.openxmlformats.org/officeDocument/2006/relationships/ctrlProp" Target="../ctrlProps/ctrlProp229.xml"/><Relationship Id="rId2" Type="http://schemas.openxmlformats.org/officeDocument/2006/relationships/drawing" Target="../drawings/drawing7.xml"/><Relationship Id="rId16" Type="http://schemas.openxmlformats.org/officeDocument/2006/relationships/ctrlProp" Target="../ctrlProps/ctrlProp228.xml"/><Relationship Id="rId20" Type="http://schemas.openxmlformats.org/officeDocument/2006/relationships/ctrlProp" Target="../ctrlProps/ctrlProp232.xml"/><Relationship Id="rId1" Type="http://schemas.openxmlformats.org/officeDocument/2006/relationships/printerSettings" Target="../printerSettings/printerSettings7.bin"/><Relationship Id="rId6" Type="http://schemas.openxmlformats.org/officeDocument/2006/relationships/ctrlProp" Target="../ctrlProps/ctrlProp218.xml"/><Relationship Id="rId11" Type="http://schemas.openxmlformats.org/officeDocument/2006/relationships/ctrlProp" Target="../ctrlProps/ctrlProp223.xml"/><Relationship Id="rId5" Type="http://schemas.openxmlformats.org/officeDocument/2006/relationships/ctrlProp" Target="../ctrlProps/ctrlProp217.xml"/><Relationship Id="rId15" Type="http://schemas.openxmlformats.org/officeDocument/2006/relationships/ctrlProp" Target="../ctrlProps/ctrlProp227.xml"/><Relationship Id="rId10" Type="http://schemas.openxmlformats.org/officeDocument/2006/relationships/ctrlProp" Target="../ctrlProps/ctrlProp222.xml"/><Relationship Id="rId19" Type="http://schemas.openxmlformats.org/officeDocument/2006/relationships/ctrlProp" Target="../ctrlProps/ctrlProp231.xml"/><Relationship Id="rId4" Type="http://schemas.openxmlformats.org/officeDocument/2006/relationships/ctrlProp" Target="../ctrlProps/ctrlProp216.xml"/><Relationship Id="rId9" Type="http://schemas.openxmlformats.org/officeDocument/2006/relationships/ctrlProp" Target="../ctrlProps/ctrlProp221.xml"/><Relationship Id="rId14" Type="http://schemas.openxmlformats.org/officeDocument/2006/relationships/ctrlProp" Target="../ctrlProps/ctrlProp22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38.xml"/><Relationship Id="rId13" Type="http://schemas.openxmlformats.org/officeDocument/2006/relationships/ctrlProp" Target="../ctrlProps/ctrlProp243.xml"/><Relationship Id="rId18" Type="http://schemas.openxmlformats.org/officeDocument/2006/relationships/ctrlProp" Target="../ctrlProps/ctrlProp248.xml"/><Relationship Id="rId3" Type="http://schemas.openxmlformats.org/officeDocument/2006/relationships/vmlDrawing" Target="../drawings/vmlDrawing6.vml"/><Relationship Id="rId21" Type="http://schemas.openxmlformats.org/officeDocument/2006/relationships/ctrlProp" Target="../ctrlProps/ctrlProp251.xml"/><Relationship Id="rId7" Type="http://schemas.openxmlformats.org/officeDocument/2006/relationships/ctrlProp" Target="../ctrlProps/ctrlProp237.xml"/><Relationship Id="rId12" Type="http://schemas.openxmlformats.org/officeDocument/2006/relationships/ctrlProp" Target="../ctrlProps/ctrlProp242.xml"/><Relationship Id="rId17" Type="http://schemas.openxmlformats.org/officeDocument/2006/relationships/ctrlProp" Target="../ctrlProps/ctrlProp247.xml"/><Relationship Id="rId2" Type="http://schemas.openxmlformats.org/officeDocument/2006/relationships/drawing" Target="../drawings/drawing8.xml"/><Relationship Id="rId16" Type="http://schemas.openxmlformats.org/officeDocument/2006/relationships/ctrlProp" Target="../ctrlProps/ctrlProp246.xml"/><Relationship Id="rId20" Type="http://schemas.openxmlformats.org/officeDocument/2006/relationships/ctrlProp" Target="../ctrlProps/ctrlProp250.xml"/><Relationship Id="rId1" Type="http://schemas.openxmlformats.org/officeDocument/2006/relationships/printerSettings" Target="../printerSettings/printerSettings8.bin"/><Relationship Id="rId6" Type="http://schemas.openxmlformats.org/officeDocument/2006/relationships/ctrlProp" Target="../ctrlProps/ctrlProp236.xml"/><Relationship Id="rId11" Type="http://schemas.openxmlformats.org/officeDocument/2006/relationships/ctrlProp" Target="../ctrlProps/ctrlProp241.xml"/><Relationship Id="rId5" Type="http://schemas.openxmlformats.org/officeDocument/2006/relationships/ctrlProp" Target="../ctrlProps/ctrlProp235.xml"/><Relationship Id="rId15" Type="http://schemas.openxmlformats.org/officeDocument/2006/relationships/ctrlProp" Target="../ctrlProps/ctrlProp245.xml"/><Relationship Id="rId10" Type="http://schemas.openxmlformats.org/officeDocument/2006/relationships/ctrlProp" Target="../ctrlProps/ctrlProp240.xml"/><Relationship Id="rId19" Type="http://schemas.openxmlformats.org/officeDocument/2006/relationships/ctrlProp" Target="../ctrlProps/ctrlProp249.xml"/><Relationship Id="rId4" Type="http://schemas.openxmlformats.org/officeDocument/2006/relationships/ctrlProp" Target="../ctrlProps/ctrlProp234.xml"/><Relationship Id="rId9" Type="http://schemas.openxmlformats.org/officeDocument/2006/relationships/ctrlProp" Target="../ctrlProps/ctrlProp239.xml"/><Relationship Id="rId14" Type="http://schemas.openxmlformats.org/officeDocument/2006/relationships/ctrlProp" Target="../ctrlProps/ctrlProp24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6.xml"/><Relationship Id="rId13" Type="http://schemas.openxmlformats.org/officeDocument/2006/relationships/ctrlProp" Target="../ctrlProps/ctrlProp261.xml"/><Relationship Id="rId18" Type="http://schemas.openxmlformats.org/officeDocument/2006/relationships/ctrlProp" Target="../ctrlProps/ctrlProp266.xml"/><Relationship Id="rId3" Type="http://schemas.openxmlformats.org/officeDocument/2006/relationships/vmlDrawing" Target="../drawings/vmlDrawing7.vml"/><Relationship Id="rId21" Type="http://schemas.openxmlformats.org/officeDocument/2006/relationships/ctrlProp" Target="../ctrlProps/ctrlProp269.xml"/><Relationship Id="rId7" Type="http://schemas.openxmlformats.org/officeDocument/2006/relationships/ctrlProp" Target="../ctrlProps/ctrlProp255.xml"/><Relationship Id="rId12" Type="http://schemas.openxmlformats.org/officeDocument/2006/relationships/ctrlProp" Target="../ctrlProps/ctrlProp260.xml"/><Relationship Id="rId17" Type="http://schemas.openxmlformats.org/officeDocument/2006/relationships/ctrlProp" Target="../ctrlProps/ctrlProp265.xml"/><Relationship Id="rId2" Type="http://schemas.openxmlformats.org/officeDocument/2006/relationships/drawing" Target="../drawings/drawing9.xml"/><Relationship Id="rId16" Type="http://schemas.openxmlformats.org/officeDocument/2006/relationships/ctrlProp" Target="../ctrlProps/ctrlProp264.xml"/><Relationship Id="rId20" Type="http://schemas.openxmlformats.org/officeDocument/2006/relationships/ctrlProp" Target="../ctrlProps/ctrlProp268.xml"/><Relationship Id="rId1" Type="http://schemas.openxmlformats.org/officeDocument/2006/relationships/printerSettings" Target="../printerSettings/printerSettings9.bin"/><Relationship Id="rId6" Type="http://schemas.openxmlformats.org/officeDocument/2006/relationships/ctrlProp" Target="../ctrlProps/ctrlProp254.xml"/><Relationship Id="rId11" Type="http://schemas.openxmlformats.org/officeDocument/2006/relationships/ctrlProp" Target="../ctrlProps/ctrlProp259.xml"/><Relationship Id="rId5" Type="http://schemas.openxmlformats.org/officeDocument/2006/relationships/ctrlProp" Target="../ctrlProps/ctrlProp253.xml"/><Relationship Id="rId15" Type="http://schemas.openxmlformats.org/officeDocument/2006/relationships/ctrlProp" Target="../ctrlProps/ctrlProp263.xml"/><Relationship Id="rId10" Type="http://schemas.openxmlformats.org/officeDocument/2006/relationships/ctrlProp" Target="../ctrlProps/ctrlProp258.xml"/><Relationship Id="rId19" Type="http://schemas.openxmlformats.org/officeDocument/2006/relationships/ctrlProp" Target="../ctrlProps/ctrlProp267.xml"/><Relationship Id="rId4" Type="http://schemas.openxmlformats.org/officeDocument/2006/relationships/ctrlProp" Target="../ctrlProps/ctrlProp252.xml"/><Relationship Id="rId9" Type="http://schemas.openxmlformats.org/officeDocument/2006/relationships/ctrlProp" Target="../ctrlProps/ctrlProp257.xml"/><Relationship Id="rId14" Type="http://schemas.openxmlformats.org/officeDocument/2006/relationships/ctrlProp" Target="../ctrlProps/ctrlProp26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4.xml"/><Relationship Id="rId13" Type="http://schemas.openxmlformats.org/officeDocument/2006/relationships/ctrlProp" Target="../ctrlProps/ctrlProp279.xml"/><Relationship Id="rId18" Type="http://schemas.openxmlformats.org/officeDocument/2006/relationships/ctrlProp" Target="../ctrlProps/ctrlProp284.xml"/><Relationship Id="rId3" Type="http://schemas.openxmlformats.org/officeDocument/2006/relationships/vmlDrawing" Target="../drawings/vmlDrawing8.vml"/><Relationship Id="rId21" Type="http://schemas.openxmlformats.org/officeDocument/2006/relationships/ctrlProp" Target="../ctrlProps/ctrlProp287.xml"/><Relationship Id="rId7" Type="http://schemas.openxmlformats.org/officeDocument/2006/relationships/ctrlProp" Target="../ctrlProps/ctrlProp273.xml"/><Relationship Id="rId12" Type="http://schemas.openxmlformats.org/officeDocument/2006/relationships/ctrlProp" Target="../ctrlProps/ctrlProp278.xml"/><Relationship Id="rId17" Type="http://schemas.openxmlformats.org/officeDocument/2006/relationships/ctrlProp" Target="../ctrlProps/ctrlProp283.xml"/><Relationship Id="rId2" Type="http://schemas.openxmlformats.org/officeDocument/2006/relationships/drawing" Target="../drawings/drawing10.xml"/><Relationship Id="rId16" Type="http://schemas.openxmlformats.org/officeDocument/2006/relationships/ctrlProp" Target="../ctrlProps/ctrlProp282.xml"/><Relationship Id="rId20" Type="http://schemas.openxmlformats.org/officeDocument/2006/relationships/ctrlProp" Target="../ctrlProps/ctrlProp286.xml"/><Relationship Id="rId1" Type="http://schemas.openxmlformats.org/officeDocument/2006/relationships/printerSettings" Target="../printerSettings/printerSettings10.bin"/><Relationship Id="rId6" Type="http://schemas.openxmlformats.org/officeDocument/2006/relationships/ctrlProp" Target="../ctrlProps/ctrlProp272.xml"/><Relationship Id="rId11" Type="http://schemas.openxmlformats.org/officeDocument/2006/relationships/ctrlProp" Target="../ctrlProps/ctrlProp277.xml"/><Relationship Id="rId5" Type="http://schemas.openxmlformats.org/officeDocument/2006/relationships/ctrlProp" Target="../ctrlProps/ctrlProp271.xml"/><Relationship Id="rId15" Type="http://schemas.openxmlformats.org/officeDocument/2006/relationships/ctrlProp" Target="../ctrlProps/ctrlProp281.xml"/><Relationship Id="rId10" Type="http://schemas.openxmlformats.org/officeDocument/2006/relationships/ctrlProp" Target="../ctrlProps/ctrlProp276.xml"/><Relationship Id="rId19" Type="http://schemas.openxmlformats.org/officeDocument/2006/relationships/ctrlProp" Target="../ctrlProps/ctrlProp285.xml"/><Relationship Id="rId4" Type="http://schemas.openxmlformats.org/officeDocument/2006/relationships/ctrlProp" Target="../ctrlProps/ctrlProp270.xml"/><Relationship Id="rId9" Type="http://schemas.openxmlformats.org/officeDocument/2006/relationships/ctrlProp" Target="../ctrlProps/ctrlProp275.xml"/><Relationship Id="rId14" Type="http://schemas.openxmlformats.org/officeDocument/2006/relationships/ctrlProp" Target="../ctrlProps/ctrlProp28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92.xml"/><Relationship Id="rId13" Type="http://schemas.openxmlformats.org/officeDocument/2006/relationships/ctrlProp" Target="../ctrlProps/ctrlProp297.xml"/><Relationship Id="rId18" Type="http://schemas.openxmlformats.org/officeDocument/2006/relationships/ctrlProp" Target="../ctrlProps/ctrlProp302.xml"/><Relationship Id="rId3" Type="http://schemas.openxmlformats.org/officeDocument/2006/relationships/vmlDrawing" Target="../drawings/vmlDrawing9.vml"/><Relationship Id="rId21" Type="http://schemas.openxmlformats.org/officeDocument/2006/relationships/ctrlProp" Target="../ctrlProps/ctrlProp305.xml"/><Relationship Id="rId7" Type="http://schemas.openxmlformats.org/officeDocument/2006/relationships/ctrlProp" Target="../ctrlProps/ctrlProp291.xml"/><Relationship Id="rId12" Type="http://schemas.openxmlformats.org/officeDocument/2006/relationships/ctrlProp" Target="../ctrlProps/ctrlProp296.xml"/><Relationship Id="rId17" Type="http://schemas.openxmlformats.org/officeDocument/2006/relationships/ctrlProp" Target="../ctrlProps/ctrlProp301.xml"/><Relationship Id="rId2" Type="http://schemas.openxmlformats.org/officeDocument/2006/relationships/drawing" Target="../drawings/drawing11.xml"/><Relationship Id="rId16" Type="http://schemas.openxmlformats.org/officeDocument/2006/relationships/ctrlProp" Target="../ctrlProps/ctrlProp300.xml"/><Relationship Id="rId20" Type="http://schemas.openxmlformats.org/officeDocument/2006/relationships/ctrlProp" Target="../ctrlProps/ctrlProp304.xml"/><Relationship Id="rId1" Type="http://schemas.openxmlformats.org/officeDocument/2006/relationships/printerSettings" Target="../printerSettings/printerSettings11.bin"/><Relationship Id="rId6" Type="http://schemas.openxmlformats.org/officeDocument/2006/relationships/ctrlProp" Target="../ctrlProps/ctrlProp290.xml"/><Relationship Id="rId11" Type="http://schemas.openxmlformats.org/officeDocument/2006/relationships/ctrlProp" Target="../ctrlProps/ctrlProp295.xml"/><Relationship Id="rId5" Type="http://schemas.openxmlformats.org/officeDocument/2006/relationships/ctrlProp" Target="../ctrlProps/ctrlProp289.xml"/><Relationship Id="rId15" Type="http://schemas.openxmlformats.org/officeDocument/2006/relationships/ctrlProp" Target="../ctrlProps/ctrlProp299.xml"/><Relationship Id="rId10" Type="http://schemas.openxmlformats.org/officeDocument/2006/relationships/ctrlProp" Target="../ctrlProps/ctrlProp294.xml"/><Relationship Id="rId19" Type="http://schemas.openxmlformats.org/officeDocument/2006/relationships/ctrlProp" Target="../ctrlProps/ctrlProp303.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18" Type="http://schemas.openxmlformats.org/officeDocument/2006/relationships/ctrlProp" Target="../ctrlProps/ctrlProp320.xml"/><Relationship Id="rId3" Type="http://schemas.openxmlformats.org/officeDocument/2006/relationships/vmlDrawing" Target="../drawings/vmlDrawing10.vml"/><Relationship Id="rId21" Type="http://schemas.openxmlformats.org/officeDocument/2006/relationships/ctrlProp" Target="../ctrlProps/ctrlProp323.xml"/><Relationship Id="rId7" Type="http://schemas.openxmlformats.org/officeDocument/2006/relationships/ctrlProp" Target="../ctrlProps/ctrlProp309.xml"/><Relationship Id="rId12" Type="http://schemas.openxmlformats.org/officeDocument/2006/relationships/ctrlProp" Target="../ctrlProps/ctrlProp314.xml"/><Relationship Id="rId17" Type="http://schemas.openxmlformats.org/officeDocument/2006/relationships/ctrlProp" Target="../ctrlProps/ctrlProp319.xml"/><Relationship Id="rId2" Type="http://schemas.openxmlformats.org/officeDocument/2006/relationships/drawing" Target="../drawings/drawing12.xml"/><Relationship Id="rId16" Type="http://schemas.openxmlformats.org/officeDocument/2006/relationships/ctrlProp" Target="../ctrlProps/ctrlProp318.xml"/><Relationship Id="rId20" Type="http://schemas.openxmlformats.org/officeDocument/2006/relationships/ctrlProp" Target="../ctrlProps/ctrlProp322.xml"/><Relationship Id="rId1" Type="http://schemas.openxmlformats.org/officeDocument/2006/relationships/printerSettings" Target="../printerSettings/printerSettings12.bin"/><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19" Type="http://schemas.openxmlformats.org/officeDocument/2006/relationships/ctrlProp" Target="../ctrlProps/ctrlProp321.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28.xml"/><Relationship Id="rId13" Type="http://schemas.openxmlformats.org/officeDocument/2006/relationships/ctrlProp" Target="../ctrlProps/ctrlProp333.xml"/><Relationship Id="rId18" Type="http://schemas.openxmlformats.org/officeDocument/2006/relationships/ctrlProp" Target="../ctrlProps/ctrlProp338.xml"/><Relationship Id="rId3" Type="http://schemas.openxmlformats.org/officeDocument/2006/relationships/vmlDrawing" Target="../drawings/vmlDrawing11.vml"/><Relationship Id="rId21" Type="http://schemas.openxmlformats.org/officeDocument/2006/relationships/ctrlProp" Target="../ctrlProps/ctrlProp341.xml"/><Relationship Id="rId7" Type="http://schemas.openxmlformats.org/officeDocument/2006/relationships/ctrlProp" Target="../ctrlProps/ctrlProp327.xml"/><Relationship Id="rId12" Type="http://schemas.openxmlformats.org/officeDocument/2006/relationships/ctrlProp" Target="../ctrlProps/ctrlProp332.xml"/><Relationship Id="rId17" Type="http://schemas.openxmlformats.org/officeDocument/2006/relationships/ctrlProp" Target="../ctrlProps/ctrlProp337.xml"/><Relationship Id="rId2" Type="http://schemas.openxmlformats.org/officeDocument/2006/relationships/drawing" Target="../drawings/drawing13.xml"/><Relationship Id="rId16" Type="http://schemas.openxmlformats.org/officeDocument/2006/relationships/ctrlProp" Target="../ctrlProps/ctrlProp336.xml"/><Relationship Id="rId20" Type="http://schemas.openxmlformats.org/officeDocument/2006/relationships/ctrlProp" Target="../ctrlProps/ctrlProp340.xml"/><Relationship Id="rId1" Type="http://schemas.openxmlformats.org/officeDocument/2006/relationships/printerSettings" Target="../printerSettings/printerSettings13.bin"/><Relationship Id="rId6" Type="http://schemas.openxmlformats.org/officeDocument/2006/relationships/ctrlProp" Target="../ctrlProps/ctrlProp326.xml"/><Relationship Id="rId11" Type="http://schemas.openxmlformats.org/officeDocument/2006/relationships/ctrlProp" Target="../ctrlProps/ctrlProp331.xml"/><Relationship Id="rId5" Type="http://schemas.openxmlformats.org/officeDocument/2006/relationships/ctrlProp" Target="../ctrlProps/ctrlProp325.xml"/><Relationship Id="rId15" Type="http://schemas.openxmlformats.org/officeDocument/2006/relationships/ctrlProp" Target="../ctrlProps/ctrlProp335.xml"/><Relationship Id="rId10" Type="http://schemas.openxmlformats.org/officeDocument/2006/relationships/ctrlProp" Target="../ctrlProps/ctrlProp330.xml"/><Relationship Id="rId19" Type="http://schemas.openxmlformats.org/officeDocument/2006/relationships/ctrlProp" Target="../ctrlProps/ctrlProp339.xml"/><Relationship Id="rId4" Type="http://schemas.openxmlformats.org/officeDocument/2006/relationships/ctrlProp" Target="../ctrlProps/ctrlProp324.xml"/><Relationship Id="rId9" Type="http://schemas.openxmlformats.org/officeDocument/2006/relationships/ctrlProp" Target="../ctrlProps/ctrlProp329.xml"/><Relationship Id="rId14" Type="http://schemas.openxmlformats.org/officeDocument/2006/relationships/ctrlProp" Target="../ctrlProps/ctrlProp33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46.xml"/><Relationship Id="rId13" Type="http://schemas.openxmlformats.org/officeDocument/2006/relationships/ctrlProp" Target="../ctrlProps/ctrlProp351.xml"/><Relationship Id="rId18" Type="http://schemas.openxmlformats.org/officeDocument/2006/relationships/ctrlProp" Target="../ctrlProps/ctrlProp356.xml"/><Relationship Id="rId3" Type="http://schemas.openxmlformats.org/officeDocument/2006/relationships/vmlDrawing" Target="../drawings/vmlDrawing12.vml"/><Relationship Id="rId21" Type="http://schemas.openxmlformats.org/officeDocument/2006/relationships/ctrlProp" Target="../ctrlProps/ctrlProp359.xml"/><Relationship Id="rId7" Type="http://schemas.openxmlformats.org/officeDocument/2006/relationships/ctrlProp" Target="../ctrlProps/ctrlProp345.xml"/><Relationship Id="rId12" Type="http://schemas.openxmlformats.org/officeDocument/2006/relationships/ctrlProp" Target="../ctrlProps/ctrlProp350.xml"/><Relationship Id="rId17" Type="http://schemas.openxmlformats.org/officeDocument/2006/relationships/ctrlProp" Target="../ctrlProps/ctrlProp355.xml"/><Relationship Id="rId2" Type="http://schemas.openxmlformats.org/officeDocument/2006/relationships/drawing" Target="../drawings/drawing14.xml"/><Relationship Id="rId16" Type="http://schemas.openxmlformats.org/officeDocument/2006/relationships/ctrlProp" Target="../ctrlProps/ctrlProp354.xml"/><Relationship Id="rId20" Type="http://schemas.openxmlformats.org/officeDocument/2006/relationships/ctrlProp" Target="../ctrlProps/ctrlProp358.xml"/><Relationship Id="rId1" Type="http://schemas.openxmlformats.org/officeDocument/2006/relationships/printerSettings" Target="../printerSettings/printerSettings14.bin"/><Relationship Id="rId6" Type="http://schemas.openxmlformats.org/officeDocument/2006/relationships/ctrlProp" Target="../ctrlProps/ctrlProp344.xml"/><Relationship Id="rId11" Type="http://schemas.openxmlformats.org/officeDocument/2006/relationships/ctrlProp" Target="../ctrlProps/ctrlProp349.xml"/><Relationship Id="rId5" Type="http://schemas.openxmlformats.org/officeDocument/2006/relationships/ctrlProp" Target="../ctrlProps/ctrlProp343.xml"/><Relationship Id="rId15" Type="http://schemas.openxmlformats.org/officeDocument/2006/relationships/ctrlProp" Target="../ctrlProps/ctrlProp353.xml"/><Relationship Id="rId10" Type="http://schemas.openxmlformats.org/officeDocument/2006/relationships/ctrlProp" Target="../ctrlProps/ctrlProp348.xml"/><Relationship Id="rId19" Type="http://schemas.openxmlformats.org/officeDocument/2006/relationships/ctrlProp" Target="../ctrlProps/ctrlProp357.xml"/><Relationship Id="rId4" Type="http://schemas.openxmlformats.org/officeDocument/2006/relationships/ctrlProp" Target="../ctrlProps/ctrlProp342.xml"/><Relationship Id="rId9" Type="http://schemas.openxmlformats.org/officeDocument/2006/relationships/ctrlProp" Target="../ctrlProps/ctrlProp347.xml"/><Relationship Id="rId1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4.vml"/><Relationship Id="rId1" Type="http://schemas.openxmlformats.org/officeDocument/2006/relationships/drawing" Target="../drawings/drawing15.xml"/><Relationship Id="rId4" Type="http://schemas.openxmlformats.org/officeDocument/2006/relationships/image" Target="../media/image2.emf"/></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dimension ref="A1:Z255"/>
  <sheetViews>
    <sheetView zoomScale="115" zoomScaleNormal="115" workbookViewId="0">
      <selection activeCell="C5" sqref="C5:C109"/>
    </sheetView>
  </sheetViews>
  <sheetFormatPr defaultRowHeight="12.75" x14ac:dyDescent="0.2"/>
  <cols>
    <col min="1" max="1" width="10.42578125" customWidth="1"/>
    <col min="2" max="2" width="13.140625" customWidth="1"/>
    <col min="3" max="3" width="12.5703125" customWidth="1"/>
  </cols>
  <sheetData>
    <row r="1" spans="1:26" x14ac:dyDescent="0.2">
      <c r="B1" s="85" t="s">
        <v>266</v>
      </c>
      <c r="C1" s="85" t="s">
        <v>265</v>
      </c>
      <c r="D1" s="85" t="s">
        <v>262</v>
      </c>
      <c r="E1" s="85" t="s">
        <v>263</v>
      </c>
      <c r="F1" s="85" t="s">
        <v>264</v>
      </c>
      <c r="G1" s="85" t="s">
        <v>257</v>
      </c>
      <c r="H1" s="85" t="s">
        <v>258</v>
      </c>
      <c r="I1" s="85" t="s">
        <v>259</v>
      </c>
      <c r="J1" s="85" t="s">
        <v>260</v>
      </c>
      <c r="K1" s="85" t="s">
        <v>261</v>
      </c>
    </row>
    <row r="2" spans="1:26" x14ac:dyDescent="0.2">
      <c r="A2" t="s">
        <v>12</v>
      </c>
      <c r="B2" t="str">
        <f>INDEX(List!$A:$A,'Relay 1'!$B$4)</f>
        <v>(none)</v>
      </c>
      <c r="C2" t="str">
        <f>INDEX(List!$A:$A,'Relay 2'!$B$4)</f>
        <v>(none)</v>
      </c>
      <c r="D2" t="str">
        <f>INDEX(List!$A:$A,'Relay 3'!$B$4)</f>
        <v>(none)</v>
      </c>
      <c r="E2" t="str">
        <f>INDEX(List!$A:$A,'Relay 4'!$B$4)</f>
        <v>P123</v>
      </c>
      <c r="F2" t="str">
        <f>INDEX(List!$A:$A,'Relay 5'!$B$4)</f>
        <v>(none)</v>
      </c>
      <c r="G2" t="str">
        <f>INDEX(List!$A:$A,'Relay 6'!$B$4)</f>
        <v>(none)</v>
      </c>
      <c r="H2" t="str">
        <f>INDEX(List!$A:$A,'Relay 7'!$B$4)</f>
        <v>(none)</v>
      </c>
      <c r="I2" t="str">
        <f>INDEX(List!$A:$A,'Relay 8'!$B$4)</f>
        <v>(none)</v>
      </c>
      <c r="J2" t="str">
        <f>INDEX(List!$A:$A,'Relay 9'!$B$4)</f>
        <v>(none)</v>
      </c>
      <c r="K2" t="str">
        <f>INDEX(List!$A:$A,'Relay 10'!$B$4)</f>
        <v>(none)</v>
      </c>
    </row>
    <row r="3" spans="1:26" x14ac:dyDescent="0.2">
      <c r="B3" t="e">
        <f>MATCH(B2,RELAYS,0)</f>
        <v>#N/A</v>
      </c>
      <c r="C3" t="e">
        <f>MATCH(C2,RELAYS,0)</f>
        <v>#N/A</v>
      </c>
      <c r="D3" t="e">
        <f t="shared" ref="D3:K3" si="0">MATCH(D2,RELAYS,0)</f>
        <v>#N/A</v>
      </c>
      <c r="E3" t="e">
        <f t="shared" si="0"/>
        <v>#N/A</v>
      </c>
      <c r="F3" t="e">
        <f t="shared" si="0"/>
        <v>#N/A</v>
      </c>
      <c r="G3" t="e">
        <f t="shared" si="0"/>
        <v>#N/A</v>
      </c>
      <c r="H3" t="e">
        <f t="shared" si="0"/>
        <v>#N/A</v>
      </c>
      <c r="I3" t="e">
        <f t="shared" si="0"/>
        <v>#N/A</v>
      </c>
      <c r="J3" t="e">
        <f t="shared" si="0"/>
        <v>#N/A</v>
      </c>
      <c r="K3" t="e">
        <f t="shared" si="0"/>
        <v>#N/A</v>
      </c>
    </row>
    <row r="4" spans="1:26" ht="13.5" thickBot="1" x14ac:dyDescent="0.25">
      <c r="B4">
        <f t="shared" ref="B4:K4" si="1">SUM(B5:B114)</f>
        <v>0</v>
      </c>
      <c r="C4">
        <f t="shared" si="1"/>
        <v>0</v>
      </c>
      <c r="D4">
        <f t="shared" si="1"/>
        <v>0</v>
      </c>
      <c r="E4">
        <f t="shared" si="1"/>
        <v>0</v>
      </c>
      <c r="F4">
        <f t="shared" si="1"/>
        <v>0</v>
      </c>
      <c r="G4">
        <f t="shared" si="1"/>
        <v>0</v>
      </c>
      <c r="H4">
        <f t="shared" si="1"/>
        <v>0</v>
      </c>
      <c r="I4">
        <f t="shared" si="1"/>
        <v>0</v>
      </c>
      <c r="J4">
        <f t="shared" si="1"/>
        <v>0</v>
      </c>
      <c r="K4">
        <f t="shared" si="1"/>
        <v>0</v>
      </c>
    </row>
    <row r="5" spans="1:26" ht="13.5" thickBot="1" x14ac:dyDescent="0.25">
      <c r="A5">
        <f>L5*M5</f>
        <v>10</v>
      </c>
      <c r="L5" s="23">
        <v>1</v>
      </c>
      <c r="M5">
        <v>10</v>
      </c>
      <c r="P5">
        <v>10</v>
      </c>
      <c r="Q5" s="8"/>
      <c r="R5" s="8"/>
      <c r="S5" s="8"/>
      <c r="T5" s="59"/>
      <c r="U5">
        <f>P5-M5</f>
        <v>0</v>
      </c>
      <c r="Z5">
        <v>10</v>
      </c>
    </row>
    <row r="6" spans="1:26" x14ac:dyDescent="0.2">
      <c r="A6">
        <f t="shared" ref="A6:A69" si="2">L6*M6</f>
        <v>11</v>
      </c>
      <c r="L6">
        <f t="shared" ref="L6:L69" si="3">L5</f>
        <v>1</v>
      </c>
      <c r="M6">
        <v>11</v>
      </c>
      <c r="P6">
        <v>11</v>
      </c>
      <c r="Q6" s="8"/>
      <c r="R6" s="8"/>
      <c r="S6" s="8"/>
      <c r="T6" s="59"/>
      <c r="U6">
        <f t="shared" ref="U6:U69" si="4">P6-M6</f>
        <v>0</v>
      </c>
      <c r="Z6">
        <v>11</v>
      </c>
    </row>
    <row r="7" spans="1:26" x14ac:dyDescent="0.2">
      <c r="A7">
        <f t="shared" si="2"/>
        <v>12</v>
      </c>
      <c r="L7">
        <f t="shared" si="3"/>
        <v>1</v>
      </c>
      <c r="M7">
        <v>12</v>
      </c>
      <c r="P7">
        <v>12</v>
      </c>
      <c r="Q7" s="8"/>
      <c r="R7" s="8"/>
      <c r="S7" s="8"/>
      <c r="T7" s="59"/>
      <c r="U7">
        <f t="shared" si="4"/>
        <v>0</v>
      </c>
      <c r="Z7">
        <v>12</v>
      </c>
    </row>
    <row r="8" spans="1:26" x14ac:dyDescent="0.2">
      <c r="A8">
        <f t="shared" si="2"/>
        <v>13</v>
      </c>
      <c r="L8">
        <f t="shared" si="3"/>
        <v>1</v>
      </c>
      <c r="M8">
        <v>13</v>
      </c>
      <c r="P8">
        <v>13</v>
      </c>
      <c r="Q8" s="8"/>
      <c r="R8" s="8"/>
      <c r="S8" s="8"/>
      <c r="T8" s="59"/>
      <c r="U8">
        <f t="shared" si="4"/>
        <v>0</v>
      </c>
      <c r="Z8">
        <v>13</v>
      </c>
    </row>
    <row r="9" spans="1:26" x14ac:dyDescent="0.2">
      <c r="A9">
        <f t="shared" si="2"/>
        <v>14</v>
      </c>
      <c r="L9">
        <f t="shared" si="3"/>
        <v>1</v>
      </c>
      <c r="M9">
        <v>14</v>
      </c>
      <c r="P9">
        <v>14</v>
      </c>
      <c r="Q9" s="8"/>
      <c r="R9" s="8"/>
      <c r="S9" s="8"/>
      <c r="T9" s="59"/>
      <c r="U9">
        <f t="shared" si="4"/>
        <v>0</v>
      </c>
      <c r="Z9">
        <v>14</v>
      </c>
    </row>
    <row r="10" spans="1:26" x14ac:dyDescent="0.2">
      <c r="A10">
        <f t="shared" si="2"/>
        <v>15</v>
      </c>
      <c r="L10">
        <f t="shared" si="3"/>
        <v>1</v>
      </c>
      <c r="M10" s="30">
        <v>15</v>
      </c>
      <c r="P10">
        <v>15</v>
      </c>
      <c r="Q10" s="8"/>
      <c r="R10" s="8"/>
      <c r="S10" s="8"/>
      <c r="T10" s="59"/>
      <c r="U10">
        <f t="shared" si="4"/>
        <v>0</v>
      </c>
      <c r="Z10" s="30">
        <v>15</v>
      </c>
    </row>
    <row r="11" spans="1:26" x14ac:dyDescent="0.2">
      <c r="A11">
        <f t="shared" si="2"/>
        <v>16</v>
      </c>
      <c r="L11">
        <f t="shared" si="3"/>
        <v>1</v>
      </c>
      <c r="M11">
        <v>16</v>
      </c>
      <c r="P11">
        <v>16</v>
      </c>
      <c r="Q11" s="8"/>
      <c r="R11" s="8"/>
      <c r="S11" s="8"/>
      <c r="T11" s="59"/>
      <c r="U11">
        <f t="shared" si="4"/>
        <v>0</v>
      </c>
      <c r="Z11">
        <v>16</v>
      </c>
    </row>
    <row r="12" spans="1:26" x14ac:dyDescent="0.2">
      <c r="A12">
        <f t="shared" si="2"/>
        <v>17</v>
      </c>
      <c r="L12">
        <f t="shared" si="3"/>
        <v>1</v>
      </c>
      <c r="M12">
        <v>17</v>
      </c>
      <c r="P12">
        <v>17</v>
      </c>
      <c r="Q12" s="8"/>
      <c r="R12" s="8"/>
      <c r="S12" s="8"/>
      <c r="T12" s="59"/>
      <c r="U12">
        <f t="shared" si="4"/>
        <v>0</v>
      </c>
      <c r="Z12">
        <v>17</v>
      </c>
    </row>
    <row r="13" spans="1:26" x14ac:dyDescent="0.2">
      <c r="A13">
        <f t="shared" si="2"/>
        <v>18</v>
      </c>
      <c r="L13">
        <f t="shared" si="3"/>
        <v>1</v>
      </c>
      <c r="M13">
        <v>18</v>
      </c>
      <c r="P13">
        <v>18</v>
      </c>
      <c r="Q13" s="8"/>
      <c r="R13" s="8"/>
      <c r="S13" s="8"/>
      <c r="T13" s="59"/>
      <c r="U13">
        <f t="shared" si="4"/>
        <v>0</v>
      </c>
      <c r="Z13">
        <v>18</v>
      </c>
    </row>
    <row r="14" spans="1:26" x14ac:dyDescent="0.2">
      <c r="A14">
        <f t="shared" si="2"/>
        <v>19</v>
      </c>
      <c r="L14">
        <f t="shared" si="3"/>
        <v>1</v>
      </c>
      <c r="M14">
        <v>19</v>
      </c>
      <c r="P14">
        <v>19</v>
      </c>
      <c r="Q14" s="8"/>
      <c r="R14" s="8"/>
      <c r="S14" s="8"/>
      <c r="T14" s="59"/>
      <c r="U14">
        <f t="shared" si="4"/>
        <v>0</v>
      </c>
      <c r="Z14">
        <v>19</v>
      </c>
    </row>
    <row r="15" spans="1:26" x14ac:dyDescent="0.2">
      <c r="A15">
        <f t="shared" si="2"/>
        <v>20</v>
      </c>
      <c r="L15">
        <f t="shared" si="3"/>
        <v>1</v>
      </c>
      <c r="M15">
        <v>20</v>
      </c>
      <c r="P15">
        <v>20</v>
      </c>
      <c r="Q15" s="8"/>
      <c r="R15" s="8"/>
      <c r="S15" s="8"/>
      <c r="T15" s="59"/>
      <c r="U15">
        <f t="shared" si="4"/>
        <v>0</v>
      </c>
      <c r="Z15">
        <v>20</v>
      </c>
    </row>
    <row r="16" spans="1:26" x14ac:dyDescent="0.2">
      <c r="A16">
        <f t="shared" si="2"/>
        <v>21</v>
      </c>
      <c r="L16">
        <f t="shared" si="3"/>
        <v>1</v>
      </c>
      <c r="M16">
        <v>21</v>
      </c>
      <c r="P16">
        <v>21</v>
      </c>
      <c r="Q16" s="8"/>
      <c r="R16" s="8"/>
      <c r="S16" s="8"/>
      <c r="T16" s="59"/>
      <c r="U16">
        <f t="shared" si="4"/>
        <v>0</v>
      </c>
      <c r="Z16">
        <v>21</v>
      </c>
    </row>
    <row r="17" spans="1:26" x14ac:dyDescent="0.2">
      <c r="A17">
        <f t="shared" si="2"/>
        <v>22</v>
      </c>
      <c r="L17">
        <f t="shared" si="3"/>
        <v>1</v>
      </c>
      <c r="M17">
        <v>22</v>
      </c>
      <c r="P17">
        <v>22</v>
      </c>
      <c r="Q17" s="8"/>
      <c r="R17" s="8"/>
      <c r="S17" s="8"/>
      <c r="T17" s="59"/>
      <c r="U17">
        <f t="shared" si="4"/>
        <v>0</v>
      </c>
      <c r="Z17">
        <v>22</v>
      </c>
    </row>
    <row r="18" spans="1:26" x14ac:dyDescent="0.2">
      <c r="A18">
        <f t="shared" si="2"/>
        <v>23</v>
      </c>
      <c r="L18">
        <f t="shared" si="3"/>
        <v>1</v>
      </c>
      <c r="M18">
        <v>23</v>
      </c>
      <c r="P18">
        <v>23</v>
      </c>
      <c r="Q18" s="8"/>
      <c r="R18" s="8"/>
      <c r="S18" s="8"/>
      <c r="T18" s="59"/>
      <c r="U18">
        <f t="shared" si="4"/>
        <v>0</v>
      </c>
      <c r="Z18">
        <v>23</v>
      </c>
    </row>
    <row r="19" spans="1:26" x14ac:dyDescent="0.2">
      <c r="A19">
        <f t="shared" si="2"/>
        <v>24</v>
      </c>
      <c r="L19">
        <f t="shared" si="3"/>
        <v>1</v>
      </c>
      <c r="M19">
        <v>24</v>
      </c>
      <c r="P19">
        <v>24</v>
      </c>
      <c r="Q19" s="8"/>
      <c r="R19" s="8"/>
      <c r="S19" s="8"/>
      <c r="T19" s="59"/>
      <c r="U19">
        <f t="shared" si="4"/>
        <v>0</v>
      </c>
      <c r="Z19">
        <v>24</v>
      </c>
    </row>
    <row r="20" spans="1:26" x14ac:dyDescent="0.2">
      <c r="A20">
        <f t="shared" si="2"/>
        <v>25</v>
      </c>
      <c r="L20">
        <f t="shared" si="3"/>
        <v>1</v>
      </c>
      <c r="M20">
        <v>25</v>
      </c>
      <c r="P20">
        <v>25</v>
      </c>
      <c r="Q20" s="8"/>
      <c r="R20" s="8"/>
      <c r="S20" s="8"/>
      <c r="T20" s="59"/>
      <c r="U20">
        <f t="shared" si="4"/>
        <v>0</v>
      </c>
      <c r="Z20">
        <v>25</v>
      </c>
    </row>
    <row r="21" spans="1:26" x14ac:dyDescent="0.2">
      <c r="A21">
        <f t="shared" si="2"/>
        <v>26</v>
      </c>
      <c r="L21">
        <f t="shared" si="3"/>
        <v>1</v>
      </c>
      <c r="M21">
        <v>26</v>
      </c>
      <c r="P21">
        <v>26</v>
      </c>
      <c r="Q21" s="8"/>
      <c r="R21" s="8"/>
      <c r="S21" s="8"/>
      <c r="T21" s="59"/>
      <c r="U21">
        <f t="shared" si="4"/>
        <v>0</v>
      </c>
      <c r="Z21">
        <v>26</v>
      </c>
    </row>
    <row r="22" spans="1:26" x14ac:dyDescent="0.2">
      <c r="A22">
        <f t="shared" si="2"/>
        <v>27</v>
      </c>
      <c r="L22">
        <f t="shared" si="3"/>
        <v>1</v>
      </c>
      <c r="M22">
        <v>27</v>
      </c>
      <c r="P22">
        <v>27</v>
      </c>
      <c r="Q22" s="8"/>
      <c r="R22" s="8"/>
      <c r="S22" s="8"/>
      <c r="T22" s="59"/>
      <c r="U22">
        <f t="shared" si="4"/>
        <v>0</v>
      </c>
      <c r="Z22">
        <v>27</v>
      </c>
    </row>
    <row r="23" spans="1:26" x14ac:dyDescent="0.2">
      <c r="A23">
        <f t="shared" si="2"/>
        <v>28</v>
      </c>
      <c r="L23">
        <f t="shared" si="3"/>
        <v>1</v>
      </c>
      <c r="M23">
        <v>28</v>
      </c>
      <c r="P23">
        <v>28</v>
      </c>
      <c r="Q23" s="8"/>
      <c r="R23" s="8"/>
      <c r="S23" s="8"/>
      <c r="T23" s="59"/>
      <c r="U23">
        <f t="shared" si="4"/>
        <v>0</v>
      </c>
      <c r="Z23">
        <v>28</v>
      </c>
    </row>
    <row r="24" spans="1:26" x14ac:dyDescent="0.2">
      <c r="A24">
        <f t="shared" si="2"/>
        <v>29</v>
      </c>
      <c r="L24">
        <f t="shared" si="3"/>
        <v>1</v>
      </c>
      <c r="M24">
        <v>29</v>
      </c>
      <c r="P24">
        <v>29</v>
      </c>
      <c r="Q24" s="8"/>
      <c r="R24" s="8"/>
      <c r="S24" s="8"/>
      <c r="T24" s="59"/>
      <c r="U24">
        <f t="shared" si="4"/>
        <v>0</v>
      </c>
      <c r="Z24">
        <v>29</v>
      </c>
    </row>
    <row r="25" spans="1:26" x14ac:dyDescent="0.2">
      <c r="A25">
        <f t="shared" si="2"/>
        <v>30</v>
      </c>
      <c r="L25">
        <f t="shared" si="3"/>
        <v>1</v>
      </c>
      <c r="M25" s="30">
        <v>30</v>
      </c>
      <c r="P25">
        <v>30</v>
      </c>
      <c r="Q25" s="8"/>
      <c r="R25" s="8"/>
      <c r="S25" s="8"/>
      <c r="T25" s="59"/>
      <c r="U25">
        <f t="shared" si="4"/>
        <v>0</v>
      </c>
      <c r="Z25" s="30">
        <v>30</v>
      </c>
    </row>
    <row r="26" spans="1:26" x14ac:dyDescent="0.2">
      <c r="A26">
        <f t="shared" si="2"/>
        <v>35</v>
      </c>
      <c r="L26">
        <f t="shared" si="3"/>
        <v>1</v>
      </c>
      <c r="M26">
        <v>35</v>
      </c>
      <c r="P26">
        <v>35</v>
      </c>
      <c r="Q26" s="8"/>
      <c r="R26" s="8"/>
      <c r="S26" s="8"/>
      <c r="T26" s="59"/>
      <c r="U26">
        <f t="shared" si="4"/>
        <v>0</v>
      </c>
      <c r="Z26">
        <v>35</v>
      </c>
    </row>
    <row r="27" spans="1:26" x14ac:dyDescent="0.2">
      <c r="A27">
        <f t="shared" si="2"/>
        <v>40</v>
      </c>
      <c r="L27">
        <f t="shared" si="3"/>
        <v>1</v>
      </c>
      <c r="M27">
        <v>40</v>
      </c>
      <c r="P27">
        <v>40</v>
      </c>
      <c r="Q27" s="8"/>
      <c r="R27" s="8"/>
      <c r="S27" s="8"/>
      <c r="T27" s="59"/>
      <c r="U27">
        <f t="shared" si="4"/>
        <v>0</v>
      </c>
      <c r="Z27">
        <v>40</v>
      </c>
    </row>
    <row r="28" spans="1:26" x14ac:dyDescent="0.2">
      <c r="A28">
        <f t="shared" si="2"/>
        <v>45</v>
      </c>
      <c r="L28">
        <f t="shared" si="3"/>
        <v>1</v>
      </c>
      <c r="M28">
        <v>45</v>
      </c>
      <c r="P28">
        <v>45</v>
      </c>
      <c r="Q28" s="8"/>
      <c r="R28" s="8"/>
      <c r="S28" s="8"/>
      <c r="T28" s="59"/>
      <c r="U28">
        <f t="shared" si="4"/>
        <v>0</v>
      </c>
      <c r="Z28">
        <v>45</v>
      </c>
    </row>
    <row r="29" spans="1:26" x14ac:dyDescent="0.2">
      <c r="A29">
        <f t="shared" si="2"/>
        <v>50</v>
      </c>
      <c r="L29">
        <f t="shared" si="3"/>
        <v>1</v>
      </c>
      <c r="M29">
        <v>50</v>
      </c>
      <c r="P29">
        <v>50</v>
      </c>
      <c r="Q29" s="8"/>
      <c r="R29" s="8"/>
      <c r="S29" s="8"/>
      <c r="T29" s="59"/>
      <c r="U29">
        <f t="shared" si="4"/>
        <v>0</v>
      </c>
      <c r="Z29">
        <v>50</v>
      </c>
    </row>
    <row r="30" spans="1:26" x14ac:dyDescent="0.2">
      <c r="A30">
        <f t="shared" si="2"/>
        <v>55</v>
      </c>
      <c r="L30">
        <f t="shared" si="3"/>
        <v>1</v>
      </c>
      <c r="M30">
        <v>55</v>
      </c>
      <c r="P30">
        <v>55</v>
      </c>
      <c r="Q30" s="8"/>
      <c r="R30" s="8"/>
      <c r="S30" s="8"/>
      <c r="T30" s="59"/>
      <c r="U30">
        <f t="shared" si="4"/>
        <v>0</v>
      </c>
      <c r="Z30">
        <v>55</v>
      </c>
    </row>
    <row r="31" spans="1:26" x14ac:dyDescent="0.2">
      <c r="A31">
        <f t="shared" si="2"/>
        <v>60</v>
      </c>
      <c r="L31">
        <f t="shared" si="3"/>
        <v>1</v>
      </c>
      <c r="M31" s="30">
        <v>60</v>
      </c>
      <c r="P31">
        <v>60</v>
      </c>
      <c r="Q31" s="8"/>
      <c r="R31" s="8"/>
      <c r="S31" s="8"/>
      <c r="T31" s="59"/>
      <c r="U31">
        <f t="shared" si="4"/>
        <v>0</v>
      </c>
      <c r="Z31" s="30">
        <v>60</v>
      </c>
    </row>
    <row r="32" spans="1:26" x14ac:dyDescent="0.2">
      <c r="A32">
        <f t="shared" si="2"/>
        <v>65</v>
      </c>
      <c r="L32">
        <f t="shared" si="3"/>
        <v>1</v>
      </c>
      <c r="M32">
        <v>65</v>
      </c>
      <c r="P32">
        <v>65</v>
      </c>
      <c r="Q32" s="8"/>
      <c r="R32" s="8"/>
      <c r="S32" s="8"/>
      <c r="T32" s="59"/>
      <c r="U32">
        <f t="shared" si="4"/>
        <v>0</v>
      </c>
      <c r="Z32">
        <v>65</v>
      </c>
    </row>
    <row r="33" spans="1:26" x14ac:dyDescent="0.2">
      <c r="A33">
        <f t="shared" si="2"/>
        <v>70</v>
      </c>
      <c r="L33">
        <f t="shared" si="3"/>
        <v>1</v>
      </c>
      <c r="M33">
        <v>70</v>
      </c>
      <c r="P33">
        <v>70</v>
      </c>
      <c r="Q33" s="8"/>
      <c r="R33" s="8"/>
      <c r="S33" s="8"/>
      <c r="T33" s="59"/>
      <c r="U33">
        <f t="shared" si="4"/>
        <v>0</v>
      </c>
      <c r="Z33">
        <v>70</v>
      </c>
    </row>
    <row r="34" spans="1:26" x14ac:dyDescent="0.2">
      <c r="A34">
        <f t="shared" si="2"/>
        <v>75</v>
      </c>
      <c r="L34">
        <f t="shared" si="3"/>
        <v>1</v>
      </c>
      <c r="M34">
        <v>75</v>
      </c>
      <c r="P34">
        <v>75</v>
      </c>
      <c r="Q34" s="8"/>
      <c r="R34" s="8"/>
      <c r="S34" s="8"/>
      <c r="T34" s="59"/>
      <c r="U34">
        <f t="shared" si="4"/>
        <v>0</v>
      </c>
      <c r="Z34">
        <v>75</v>
      </c>
    </row>
    <row r="35" spans="1:26" x14ac:dyDescent="0.2">
      <c r="A35">
        <f t="shared" si="2"/>
        <v>80</v>
      </c>
      <c r="L35">
        <f t="shared" si="3"/>
        <v>1</v>
      </c>
      <c r="M35">
        <v>80</v>
      </c>
      <c r="P35">
        <v>80</v>
      </c>
      <c r="Q35" s="8">
        <v>5</v>
      </c>
      <c r="R35" s="8"/>
      <c r="S35" s="8"/>
      <c r="T35" s="59"/>
      <c r="U35">
        <f t="shared" si="4"/>
        <v>0</v>
      </c>
      <c r="Z35">
        <v>80</v>
      </c>
    </row>
    <row r="36" spans="1:26" x14ac:dyDescent="0.2">
      <c r="A36">
        <f t="shared" si="2"/>
        <v>85</v>
      </c>
      <c r="L36">
        <f t="shared" si="3"/>
        <v>1</v>
      </c>
      <c r="M36">
        <v>85</v>
      </c>
      <c r="P36">
        <v>85</v>
      </c>
      <c r="Q36" s="8"/>
      <c r="R36" s="8"/>
      <c r="S36" s="8"/>
      <c r="T36" s="59"/>
      <c r="U36">
        <f t="shared" si="4"/>
        <v>0</v>
      </c>
      <c r="Z36">
        <v>85</v>
      </c>
    </row>
    <row r="37" spans="1:26" x14ac:dyDescent="0.2">
      <c r="A37">
        <f t="shared" si="2"/>
        <v>90</v>
      </c>
      <c r="L37">
        <f t="shared" si="3"/>
        <v>1</v>
      </c>
      <c r="M37">
        <v>90</v>
      </c>
      <c r="P37">
        <v>90</v>
      </c>
      <c r="Q37" s="8">
        <v>2.7</v>
      </c>
      <c r="R37" s="8"/>
      <c r="S37" s="8"/>
      <c r="T37" s="59"/>
      <c r="U37">
        <f t="shared" si="4"/>
        <v>0</v>
      </c>
      <c r="Z37">
        <v>90</v>
      </c>
    </row>
    <row r="38" spans="1:26" x14ac:dyDescent="0.2">
      <c r="A38">
        <f t="shared" si="2"/>
        <v>95</v>
      </c>
      <c r="L38">
        <f t="shared" si="3"/>
        <v>1</v>
      </c>
      <c r="M38">
        <v>95</v>
      </c>
      <c r="P38">
        <v>95</v>
      </c>
      <c r="Q38" s="8"/>
      <c r="R38" s="8"/>
      <c r="S38" s="8"/>
      <c r="T38" s="59"/>
      <c r="U38">
        <f t="shared" si="4"/>
        <v>0</v>
      </c>
      <c r="Z38">
        <v>95</v>
      </c>
    </row>
    <row r="39" spans="1:26" x14ac:dyDescent="0.2">
      <c r="A39">
        <f t="shared" si="2"/>
        <v>100</v>
      </c>
      <c r="L39">
        <f t="shared" si="3"/>
        <v>1</v>
      </c>
      <c r="M39">
        <v>100</v>
      </c>
      <c r="P39">
        <v>100</v>
      </c>
      <c r="Q39" s="8"/>
      <c r="R39" s="8"/>
      <c r="S39" s="8"/>
      <c r="T39" s="59"/>
      <c r="U39">
        <f t="shared" si="4"/>
        <v>0</v>
      </c>
      <c r="Z39">
        <v>100</v>
      </c>
    </row>
    <row r="40" spans="1:26" x14ac:dyDescent="0.2">
      <c r="A40">
        <f t="shared" si="2"/>
        <v>110</v>
      </c>
      <c r="L40">
        <f t="shared" si="3"/>
        <v>1</v>
      </c>
      <c r="M40">
        <v>110</v>
      </c>
      <c r="P40">
        <v>110</v>
      </c>
      <c r="Q40" s="8"/>
      <c r="R40" s="8"/>
      <c r="S40" s="8"/>
      <c r="T40" s="59"/>
      <c r="U40">
        <f t="shared" si="4"/>
        <v>0</v>
      </c>
      <c r="Z40">
        <v>110</v>
      </c>
    </row>
    <row r="41" spans="1:26" x14ac:dyDescent="0.2">
      <c r="A41">
        <f t="shared" si="2"/>
        <v>120</v>
      </c>
      <c r="L41">
        <f t="shared" si="3"/>
        <v>1</v>
      </c>
      <c r="M41">
        <v>120</v>
      </c>
      <c r="P41">
        <v>120</v>
      </c>
      <c r="Q41" s="8"/>
      <c r="R41" s="8"/>
      <c r="S41" s="8"/>
      <c r="T41" s="59"/>
      <c r="U41">
        <f t="shared" si="4"/>
        <v>0</v>
      </c>
      <c r="Z41">
        <v>120</v>
      </c>
    </row>
    <row r="42" spans="1:26" x14ac:dyDescent="0.2">
      <c r="A42">
        <f t="shared" si="2"/>
        <v>130</v>
      </c>
      <c r="L42">
        <f t="shared" si="3"/>
        <v>1</v>
      </c>
      <c r="M42">
        <v>130</v>
      </c>
      <c r="P42">
        <v>130</v>
      </c>
      <c r="Q42" s="8"/>
      <c r="R42" s="8"/>
      <c r="S42" s="8"/>
      <c r="T42" s="59"/>
      <c r="U42">
        <f t="shared" si="4"/>
        <v>0</v>
      </c>
      <c r="Z42">
        <v>130</v>
      </c>
    </row>
    <row r="43" spans="1:26" ht="11.25" customHeight="1" x14ac:dyDescent="0.2">
      <c r="A43">
        <f t="shared" si="2"/>
        <v>140</v>
      </c>
      <c r="L43">
        <f t="shared" si="3"/>
        <v>1</v>
      </c>
      <c r="M43">
        <v>140</v>
      </c>
      <c r="P43">
        <v>140</v>
      </c>
      <c r="Q43" s="8"/>
      <c r="R43" s="8"/>
      <c r="S43" s="8"/>
      <c r="T43" s="59"/>
      <c r="U43">
        <f t="shared" si="4"/>
        <v>0</v>
      </c>
      <c r="Z43">
        <v>140</v>
      </c>
    </row>
    <row r="44" spans="1:26" x14ac:dyDescent="0.2">
      <c r="A44">
        <f t="shared" si="2"/>
        <v>150</v>
      </c>
      <c r="L44">
        <f t="shared" si="3"/>
        <v>1</v>
      </c>
      <c r="M44">
        <v>150</v>
      </c>
      <c r="P44">
        <v>150</v>
      </c>
      <c r="Q44" s="8"/>
      <c r="R44" s="8"/>
      <c r="S44" s="8"/>
      <c r="T44" s="59"/>
      <c r="U44">
        <f t="shared" si="4"/>
        <v>0</v>
      </c>
      <c r="Z44">
        <v>150</v>
      </c>
    </row>
    <row r="45" spans="1:26" x14ac:dyDescent="0.2">
      <c r="A45">
        <f t="shared" si="2"/>
        <v>160</v>
      </c>
      <c r="L45">
        <f t="shared" si="3"/>
        <v>1</v>
      </c>
      <c r="M45">
        <v>160</v>
      </c>
      <c r="P45">
        <v>160</v>
      </c>
      <c r="Q45" s="8"/>
      <c r="R45" s="8"/>
      <c r="S45" s="8"/>
      <c r="T45" s="59"/>
      <c r="U45">
        <f t="shared" si="4"/>
        <v>0</v>
      </c>
      <c r="Z45">
        <v>160</v>
      </c>
    </row>
    <row r="46" spans="1:26" x14ac:dyDescent="0.2">
      <c r="A46">
        <f t="shared" si="2"/>
        <v>170</v>
      </c>
      <c r="L46">
        <f t="shared" si="3"/>
        <v>1</v>
      </c>
      <c r="M46">
        <v>170</v>
      </c>
      <c r="P46">
        <v>170</v>
      </c>
      <c r="Q46" s="8"/>
      <c r="R46" s="8"/>
      <c r="S46" s="8"/>
      <c r="T46" s="59"/>
      <c r="U46">
        <f t="shared" si="4"/>
        <v>0</v>
      </c>
      <c r="Z46">
        <v>170</v>
      </c>
    </row>
    <row r="47" spans="1:26" x14ac:dyDescent="0.2">
      <c r="A47">
        <f t="shared" si="2"/>
        <v>180</v>
      </c>
      <c r="L47">
        <f t="shared" si="3"/>
        <v>1</v>
      </c>
      <c r="M47">
        <v>180</v>
      </c>
      <c r="P47">
        <v>180</v>
      </c>
      <c r="Q47" s="8"/>
      <c r="R47" s="8">
        <v>1.5</v>
      </c>
      <c r="S47" s="8"/>
      <c r="T47" s="59"/>
      <c r="U47">
        <f t="shared" si="4"/>
        <v>0</v>
      </c>
      <c r="Z47">
        <v>180</v>
      </c>
    </row>
    <row r="48" spans="1:26" x14ac:dyDescent="0.2">
      <c r="A48">
        <f t="shared" si="2"/>
        <v>190</v>
      </c>
      <c r="L48">
        <f t="shared" si="3"/>
        <v>1</v>
      </c>
      <c r="M48">
        <v>190</v>
      </c>
      <c r="P48">
        <v>190</v>
      </c>
      <c r="Q48" s="8"/>
      <c r="R48" s="8"/>
      <c r="S48" s="8"/>
      <c r="T48" s="59"/>
      <c r="U48">
        <f t="shared" si="4"/>
        <v>0</v>
      </c>
      <c r="Z48">
        <v>190</v>
      </c>
    </row>
    <row r="49" spans="1:26" x14ac:dyDescent="0.2">
      <c r="A49">
        <f t="shared" si="2"/>
        <v>200</v>
      </c>
      <c r="L49">
        <f t="shared" si="3"/>
        <v>1</v>
      </c>
      <c r="M49">
        <v>200</v>
      </c>
      <c r="P49">
        <v>200</v>
      </c>
      <c r="Q49" s="8"/>
      <c r="R49" s="8"/>
      <c r="S49" s="8"/>
      <c r="T49" s="59"/>
      <c r="U49">
        <f t="shared" si="4"/>
        <v>0</v>
      </c>
      <c r="Z49">
        <v>200</v>
      </c>
    </row>
    <row r="50" spans="1:26" x14ac:dyDescent="0.2">
      <c r="A50">
        <f t="shared" si="2"/>
        <v>210</v>
      </c>
      <c r="L50">
        <f t="shared" si="3"/>
        <v>1</v>
      </c>
      <c r="M50">
        <v>210</v>
      </c>
      <c r="P50">
        <v>210</v>
      </c>
      <c r="Q50" s="8">
        <v>0.38</v>
      </c>
      <c r="R50" s="8"/>
      <c r="S50" s="8"/>
      <c r="T50" s="59"/>
      <c r="U50">
        <f t="shared" si="4"/>
        <v>0</v>
      </c>
      <c r="Z50">
        <v>210</v>
      </c>
    </row>
    <row r="51" spans="1:26" x14ac:dyDescent="0.2">
      <c r="A51">
        <f t="shared" si="2"/>
        <v>220</v>
      </c>
      <c r="L51">
        <f t="shared" si="3"/>
        <v>1</v>
      </c>
      <c r="M51">
        <v>220</v>
      </c>
      <c r="P51">
        <v>220</v>
      </c>
      <c r="Q51" s="8"/>
      <c r="R51" s="8">
        <v>0.96</v>
      </c>
      <c r="S51" s="8"/>
      <c r="T51" s="59"/>
      <c r="U51">
        <f t="shared" si="4"/>
        <v>0</v>
      </c>
      <c r="Z51">
        <v>220</v>
      </c>
    </row>
    <row r="52" spans="1:26" x14ac:dyDescent="0.2">
      <c r="A52">
        <f t="shared" si="2"/>
        <v>230</v>
      </c>
      <c r="L52">
        <f t="shared" si="3"/>
        <v>1</v>
      </c>
      <c r="M52">
        <v>230</v>
      </c>
      <c r="P52">
        <v>230</v>
      </c>
      <c r="Q52" s="8"/>
      <c r="R52" s="8"/>
      <c r="S52" s="8">
        <v>4.9000000000000004</v>
      </c>
      <c r="T52" s="59"/>
      <c r="U52">
        <f t="shared" si="4"/>
        <v>0</v>
      </c>
      <c r="Z52">
        <v>230</v>
      </c>
    </row>
    <row r="53" spans="1:26" x14ac:dyDescent="0.2">
      <c r="A53">
        <f t="shared" si="2"/>
        <v>240</v>
      </c>
      <c r="L53">
        <f t="shared" si="3"/>
        <v>1</v>
      </c>
      <c r="M53">
        <v>240</v>
      </c>
      <c r="P53">
        <v>240</v>
      </c>
      <c r="Q53" s="8"/>
      <c r="R53" s="8"/>
      <c r="S53" s="8">
        <v>4.2</v>
      </c>
      <c r="T53" s="59"/>
      <c r="U53">
        <f t="shared" si="4"/>
        <v>0</v>
      </c>
      <c r="Z53">
        <v>240</v>
      </c>
    </row>
    <row r="54" spans="1:26" x14ac:dyDescent="0.2">
      <c r="A54">
        <f t="shared" si="2"/>
        <v>250</v>
      </c>
      <c r="L54">
        <f t="shared" si="3"/>
        <v>1</v>
      </c>
      <c r="M54">
        <v>250</v>
      </c>
      <c r="P54">
        <v>250</v>
      </c>
      <c r="Q54" s="8"/>
      <c r="R54" s="8"/>
      <c r="S54" s="8">
        <v>3.4</v>
      </c>
      <c r="T54" s="59"/>
      <c r="U54">
        <f t="shared" si="4"/>
        <v>0</v>
      </c>
      <c r="Z54">
        <v>250</v>
      </c>
    </row>
    <row r="55" spans="1:26" x14ac:dyDescent="0.2">
      <c r="A55">
        <f t="shared" si="2"/>
        <v>260</v>
      </c>
      <c r="L55">
        <f t="shared" si="3"/>
        <v>1</v>
      </c>
      <c r="M55">
        <v>260</v>
      </c>
      <c r="P55">
        <v>260</v>
      </c>
      <c r="Q55" s="8"/>
      <c r="R55" s="8"/>
      <c r="S55" s="8">
        <v>3</v>
      </c>
      <c r="T55" s="59"/>
      <c r="U55">
        <f t="shared" si="4"/>
        <v>0</v>
      </c>
      <c r="Z55">
        <v>260</v>
      </c>
    </row>
    <row r="56" spans="1:26" x14ac:dyDescent="0.2">
      <c r="A56">
        <f t="shared" si="2"/>
        <v>270</v>
      </c>
      <c r="L56">
        <f t="shared" si="3"/>
        <v>1</v>
      </c>
      <c r="M56">
        <v>270</v>
      </c>
      <c r="P56">
        <v>270</v>
      </c>
      <c r="Q56" s="8"/>
      <c r="R56" s="8"/>
      <c r="S56" s="8">
        <v>2.2599999999999998</v>
      </c>
      <c r="T56" s="59"/>
      <c r="U56">
        <f t="shared" si="4"/>
        <v>0</v>
      </c>
      <c r="Z56">
        <v>270</v>
      </c>
    </row>
    <row r="57" spans="1:26" x14ac:dyDescent="0.2">
      <c r="A57">
        <f t="shared" si="2"/>
        <v>280</v>
      </c>
      <c r="L57">
        <f t="shared" si="3"/>
        <v>1</v>
      </c>
      <c r="M57">
        <v>280</v>
      </c>
      <c r="P57">
        <v>280</v>
      </c>
      <c r="Q57" s="8"/>
      <c r="R57" s="8"/>
      <c r="S57" s="8">
        <v>1.6</v>
      </c>
      <c r="T57" s="59"/>
      <c r="U57">
        <f t="shared" si="4"/>
        <v>0</v>
      </c>
      <c r="Z57">
        <v>280</v>
      </c>
    </row>
    <row r="58" spans="1:26" x14ac:dyDescent="0.2">
      <c r="A58">
        <f t="shared" si="2"/>
        <v>290</v>
      </c>
      <c r="L58">
        <f t="shared" si="3"/>
        <v>1</v>
      </c>
      <c r="M58">
        <v>290</v>
      </c>
      <c r="P58">
        <v>290</v>
      </c>
      <c r="Q58" s="8"/>
      <c r="R58" s="8"/>
      <c r="S58" s="8">
        <v>1.25</v>
      </c>
      <c r="T58" s="59"/>
      <c r="U58">
        <f t="shared" si="4"/>
        <v>0</v>
      </c>
      <c r="Z58">
        <v>290</v>
      </c>
    </row>
    <row r="59" spans="1:26" x14ac:dyDescent="0.2">
      <c r="A59">
        <f t="shared" si="2"/>
        <v>300</v>
      </c>
      <c r="L59">
        <f t="shared" si="3"/>
        <v>1</v>
      </c>
      <c r="M59">
        <v>300</v>
      </c>
      <c r="P59">
        <v>300</v>
      </c>
      <c r="Q59" s="8">
        <v>0.2</v>
      </c>
      <c r="R59" s="8">
        <v>0.51</v>
      </c>
      <c r="S59" s="8">
        <v>0.8</v>
      </c>
      <c r="T59" s="59"/>
      <c r="U59">
        <f t="shared" si="4"/>
        <v>0</v>
      </c>
      <c r="Z59">
        <v>300</v>
      </c>
    </row>
    <row r="60" spans="1:26" x14ac:dyDescent="0.2">
      <c r="A60">
        <f t="shared" si="2"/>
        <v>350</v>
      </c>
      <c r="L60">
        <f t="shared" si="3"/>
        <v>1</v>
      </c>
      <c r="M60">
        <v>350</v>
      </c>
      <c r="P60">
        <v>350</v>
      </c>
      <c r="Q60" s="8"/>
      <c r="R60" s="8"/>
      <c r="S60" s="8">
        <v>0.35</v>
      </c>
      <c r="T60" s="59"/>
      <c r="U60">
        <f t="shared" si="4"/>
        <v>0</v>
      </c>
      <c r="Z60">
        <v>350</v>
      </c>
    </row>
    <row r="61" spans="1:26" x14ac:dyDescent="0.2">
      <c r="A61">
        <f t="shared" si="2"/>
        <v>400</v>
      </c>
      <c r="L61">
        <f t="shared" si="3"/>
        <v>1</v>
      </c>
      <c r="M61">
        <v>400</v>
      </c>
      <c r="P61">
        <v>400</v>
      </c>
      <c r="Q61" s="8"/>
      <c r="R61" s="8">
        <v>0.28999999999999998</v>
      </c>
      <c r="S61" s="8">
        <v>0.18</v>
      </c>
      <c r="T61" s="59"/>
      <c r="U61">
        <f t="shared" si="4"/>
        <v>0</v>
      </c>
      <c r="Z61">
        <v>400</v>
      </c>
    </row>
    <row r="62" spans="1:26" x14ac:dyDescent="0.2">
      <c r="A62">
        <f t="shared" si="2"/>
        <v>450</v>
      </c>
      <c r="L62">
        <f t="shared" si="3"/>
        <v>1</v>
      </c>
      <c r="M62">
        <v>450</v>
      </c>
      <c r="P62">
        <v>450</v>
      </c>
      <c r="Q62" s="8">
        <v>0.1</v>
      </c>
      <c r="R62" s="8"/>
      <c r="S62" s="8">
        <v>0.1</v>
      </c>
      <c r="T62" s="59">
        <v>4</v>
      </c>
      <c r="U62">
        <f t="shared" si="4"/>
        <v>0</v>
      </c>
      <c r="Z62">
        <v>450</v>
      </c>
    </row>
    <row r="63" spans="1:26" x14ac:dyDescent="0.2">
      <c r="A63">
        <f t="shared" si="2"/>
        <v>500</v>
      </c>
      <c r="L63">
        <f t="shared" si="3"/>
        <v>1</v>
      </c>
      <c r="M63">
        <v>500</v>
      </c>
      <c r="P63">
        <v>500</v>
      </c>
      <c r="Q63" s="8"/>
      <c r="R63" s="8">
        <v>0.19500000000000001</v>
      </c>
      <c r="S63" s="8"/>
      <c r="T63" s="59">
        <v>2</v>
      </c>
      <c r="U63">
        <f t="shared" si="4"/>
        <v>0</v>
      </c>
      <c r="Z63">
        <v>500</v>
      </c>
    </row>
    <row r="64" spans="1:26" x14ac:dyDescent="0.2">
      <c r="A64">
        <f t="shared" si="2"/>
        <v>550</v>
      </c>
      <c r="L64">
        <f t="shared" si="3"/>
        <v>1</v>
      </c>
      <c r="M64">
        <v>550</v>
      </c>
      <c r="P64">
        <v>550</v>
      </c>
      <c r="Q64" s="8"/>
      <c r="R64" s="8"/>
      <c r="S64" s="8"/>
      <c r="T64" s="59">
        <v>1.2</v>
      </c>
      <c r="U64">
        <f t="shared" si="4"/>
        <v>0</v>
      </c>
      <c r="Z64">
        <v>550</v>
      </c>
    </row>
    <row r="65" spans="1:26" x14ac:dyDescent="0.2">
      <c r="A65">
        <f t="shared" si="2"/>
        <v>600</v>
      </c>
      <c r="L65">
        <f t="shared" si="3"/>
        <v>1</v>
      </c>
      <c r="M65">
        <v>600</v>
      </c>
      <c r="P65">
        <v>600</v>
      </c>
      <c r="Q65" s="8"/>
      <c r="R65" s="8"/>
      <c r="S65" s="8"/>
      <c r="T65" s="59">
        <v>0.8</v>
      </c>
      <c r="U65">
        <f t="shared" si="4"/>
        <v>0</v>
      </c>
      <c r="Z65">
        <v>600</v>
      </c>
    </row>
    <row r="66" spans="1:26" x14ac:dyDescent="0.2">
      <c r="A66">
        <f t="shared" si="2"/>
        <v>650</v>
      </c>
      <c r="L66">
        <f t="shared" si="3"/>
        <v>1</v>
      </c>
      <c r="M66">
        <v>650</v>
      </c>
      <c r="P66">
        <v>650</v>
      </c>
      <c r="Q66" s="8"/>
      <c r="R66" s="8"/>
      <c r="S66" s="8"/>
      <c r="T66" s="59">
        <v>0.48</v>
      </c>
      <c r="U66">
        <f t="shared" si="4"/>
        <v>0</v>
      </c>
      <c r="Z66">
        <v>650</v>
      </c>
    </row>
    <row r="67" spans="1:26" x14ac:dyDescent="0.2">
      <c r="A67">
        <f t="shared" si="2"/>
        <v>700</v>
      </c>
      <c r="L67">
        <f t="shared" si="3"/>
        <v>1</v>
      </c>
      <c r="M67">
        <v>700</v>
      </c>
      <c r="P67">
        <v>700</v>
      </c>
      <c r="Q67" s="8"/>
      <c r="R67" s="8"/>
      <c r="S67" s="8"/>
      <c r="T67" s="59">
        <v>0.35</v>
      </c>
      <c r="U67">
        <f t="shared" si="4"/>
        <v>0</v>
      </c>
      <c r="Z67">
        <v>700</v>
      </c>
    </row>
    <row r="68" spans="1:26" x14ac:dyDescent="0.2">
      <c r="A68">
        <f t="shared" si="2"/>
        <v>750</v>
      </c>
      <c r="L68">
        <f t="shared" si="3"/>
        <v>1</v>
      </c>
      <c r="M68">
        <v>750</v>
      </c>
      <c r="P68">
        <v>750</v>
      </c>
      <c r="Q68" s="8"/>
      <c r="R68" s="8"/>
      <c r="S68" s="8"/>
      <c r="T68" s="59"/>
      <c r="U68">
        <f t="shared" si="4"/>
        <v>0</v>
      </c>
      <c r="Z68">
        <v>750</v>
      </c>
    </row>
    <row r="69" spans="1:26" x14ac:dyDescent="0.2">
      <c r="A69">
        <f t="shared" si="2"/>
        <v>800</v>
      </c>
      <c r="L69">
        <f t="shared" si="3"/>
        <v>1</v>
      </c>
      <c r="M69">
        <v>800</v>
      </c>
      <c r="P69">
        <v>800</v>
      </c>
      <c r="Q69" s="8"/>
      <c r="R69" s="8"/>
      <c r="S69" s="8"/>
      <c r="T69" s="59">
        <v>0.2</v>
      </c>
      <c r="U69">
        <f t="shared" si="4"/>
        <v>0</v>
      </c>
      <c r="Z69">
        <v>800</v>
      </c>
    </row>
    <row r="70" spans="1:26" x14ac:dyDescent="0.2">
      <c r="A70">
        <f t="shared" ref="A70:A111" si="5">L70*M70</f>
        <v>850</v>
      </c>
      <c r="L70">
        <f t="shared" ref="L70:L113" si="6">L69</f>
        <v>1</v>
      </c>
      <c r="M70">
        <v>850</v>
      </c>
      <c r="P70">
        <v>850</v>
      </c>
      <c r="Q70" s="8">
        <v>0.04</v>
      </c>
      <c r="R70" s="8">
        <v>8.7999999999999995E-2</v>
      </c>
      <c r="S70" s="8"/>
      <c r="T70" s="59"/>
      <c r="U70">
        <f t="shared" ref="U70:U113" si="7">P70-M70</f>
        <v>0</v>
      </c>
      <c r="Z70">
        <v>850</v>
      </c>
    </row>
    <row r="71" spans="1:26" x14ac:dyDescent="0.2">
      <c r="A71">
        <f t="shared" si="5"/>
        <v>900</v>
      </c>
      <c r="L71">
        <f t="shared" si="6"/>
        <v>1</v>
      </c>
      <c r="M71">
        <v>900</v>
      </c>
      <c r="P71">
        <v>900</v>
      </c>
      <c r="Q71" s="8"/>
      <c r="R71" s="8"/>
      <c r="S71" s="8"/>
      <c r="T71" s="59"/>
      <c r="U71">
        <f t="shared" si="7"/>
        <v>0</v>
      </c>
      <c r="Z71">
        <v>900</v>
      </c>
    </row>
    <row r="72" spans="1:26" x14ac:dyDescent="0.2">
      <c r="A72">
        <f t="shared" si="5"/>
        <v>950</v>
      </c>
      <c r="L72">
        <f t="shared" si="6"/>
        <v>1</v>
      </c>
      <c r="M72">
        <v>950</v>
      </c>
      <c r="P72">
        <v>950</v>
      </c>
      <c r="Q72" s="8"/>
      <c r="R72" s="8"/>
      <c r="S72" s="8"/>
      <c r="T72" s="59"/>
      <c r="U72">
        <f t="shared" si="7"/>
        <v>0</v>
      </c>
      <c r="Z72">
        <v>950</v>
      </c>
    </row>
    <row r="73" spans="1:26" x14ac:dyDescent="0.2">
      <c r="A73">
        <f t="shared" si="5"/>
        <v>1000</v>
      </c>
      <c r="L73">
        <f t="shared" si="6"/>
        <v>1</v>
      </c>
      <c r="M73">
        <v>1000</v>
      </c>
      <c r="P73">
        <v>1000</v>
      </c>
      <c r="Q73" s="8"/>
      <c r="R73" s="8"/>
      <c r="S73" s="8"/>
      <c r="T73" s="59">
        <v>0.1</v>
      </c>
      <c r="U73">
        <f t="shared" si="7"/>
        <v>0</v>
      </c>
      <c r="Z73">
        <v>1000</v>
      </c>
    </row>
    <row r="74" spans="1:26" x14ac:dyDescent="0.2">
      <c r="A74">
        <f t="shared" si="5"/>
        <v>1100</v>
      </c>
      <c r="L74">
        <f t="shared" si="6"/>
        <v>1</v>
      </c>
      <c r="M74">
        <v>1100</v>
      </c>
      <c r="P74">
        <v>1100</v>
      </c>
      <c r="Q74" s="8"/>
      <c r="R74" s="8"/>
      <c r="S74" s="8"/>
      <c r="T74" s="59"/>
      <c r="U74">
        <f t="shared" si="7"/>
        <v>0</v>
      </c>
      <c r="Z74">
        <v>1100</v>
      </c>
    </row>
    <row r="75" spans="1:26" x14ac:dyDescent="0.2">
      <c r="A75">
        <f t="shared" si="5"/>
        <v>1200</v>
      </c>
      <c r="L75">
        <f t="shared" si="6"/>
        <v>1</v>
      </c>
      <c r="M75">
        <v>1200</v>
      </c>
      <c r="P75">
        <v>1200</v>
      </c>
      <c r="Q75" s="8"/>
      <c r="R75" s="8"/>
      <c r="S75" s="8"/>
      <c r="T75" s="59"/>
      <c r="U75">
        <f t="shared" si="7"/>
        <v>0</v>
      </c>
      <c r="Z75">
        <v>1200</v>
      </c>
    </row>
    <row r="76" spans="1:26" x14ac:dyDescent="0.2">
      <c r="A76">
        <f>L76*M76</f>
        <v>1300</v>
      </c>
      <c r="L76">
        <f t="shared" si="6"/>
        <v>1</v>
      </c>
      <c r="M76">
        <v>1300</v>
      </c>
      <c r="P76">
        <v>1300</v>
      </c>
      <c r="Q76" s="8"/>
      <c r="R76" s="8"/>
      <c r="S76" s="8"/>
      <c r="T76" s="59"/>
      <c r="U76">
        <f>P76-M76</f>
        <v>0</v>
      </c>
      <c r="Z76">
        <v>1300</v>
      </c>
    </row>
    <row r="77" spans="1:26" x14ac:dyDescent="0.2">
      <c r="A77">
        <f t="shared" si="5"/>
        <v>1300</v>
      </c>
      <c r="L77">
        <f t="shared" si="6"/>
        <v>1</v>
      </c>
      <c r="M77">
        <v>1300</v>
      </c>
      <c r="P77">
        <v>1300</v>
      </c>
      <c r="Q77" s="8"/>
      <c r="R77" s="8"/>
      <c r="S77" s="8"/>
      <c r="T77" s="59"/>
      <c r="U77">
        <f t="shared" si="7"/>
        <v>0</v>
      </c>
      <c r="Z77">
        <v>1300</v>
      </c>
    </row>
    <row r="78" spans="1:26" x14ac:dyDescent="0.2">
      <c r="A78">
        <f t="shared" si="5"/>
        <v>1400</v>
      </c>
      <c r="L78">
        <f t="shared" si="6"/>
        <v>1</v>
      </c>
      <c r="M78">
        <v>1400</v>
      </c>
      <c r="P78">
        <v>1400</v>
      </c>
      <c r="Q78" s="8"/>
      <c r="R78" s="8"/>
      <c r="S78" s="8"/>
      <c r="T78" s="59">
        <v>0.03</v>
      </c>
      <c r="U78">
        <f t="shared" si="7"/>
        <v>0</v>
      </c>
      <c r="Z78">
        <v>1400</v>
      </c>
    </row>
    <row r="79" spans="1:26" x14ac:dyDescent="0.2">
      <c r="A79">
        <f t="shared" si="5"/>
        <v>1500</v>
      </c>
      <c r="L79">
        <f t="shared" si="6"/>
        <v>1</v>
      </c>
      <c r="M79">
        <v>1500</v>
      </c>
      <c r="P79">
        <v>1500</v>
      </c>
      <c r="Q79" s="8"/>
      <c r="R79" s="8"/>
      <c r="S79" s="8"/>
      <c r="T79" s="59"/>
      <c r="U79">
        <f>P79-M79</f>
        <v>0</v>
      </c>
      <c r="Z79">
        <v>1500</v>
      </c>
    </row>
    <row r="80" spans="1:26" x14ac:dyDescent="0.2">
      <c r="A80">
        <f t="shared" si="5"/>
        <v>1500</v>
      </c>
      <c r="L80">
        <f t="shared" si="6"/>
        <v>1</v>
      </c>
      <c r="M80">
        <v>1500</v>
      </c>
      <c r="P80">
        <v>1500</v>
      </c>
      <c r="Q80" s="8"/>
      <c r="R80" s="8"/>
      <c r="S80" s="8"/>
      <c r="T80" s="59"/>
      <c r="U80">
        <f t="shared" si="7"/>
        <v>0</v>
      </c>
      <c r="Z80">
        <v>1500</v>
      </c>
    </row>
    <row r="81" spans="1:26" x14ac:dyDescent="0.2">
      <c r="A81">
        <f t="shared" si="5"/>
        <v>1600</v>
      </c>
      <c r="L81">
        <f t="shared" si="6"/>
        <v>1</v>
      </c>
      <c r="M81">
        <v>1600</v>
      </c>
      <c r="P81">
        <v>1600</v>
      </c>
      <c r="Q81" s="8"/>
      <c r="R81" s="8"/>
      <c r="S81" s="8"/>
      <c r="T81" s="59"/>
      <c r="U81">
        <f t="shared" si="7"/>
        <v>0</v>
      </c>
      <c r="Z81">
        <v>1600</v>
      </c>
    </row>
    <row r="82" spans="1:26" x14ac:dyDescent="0.2">
      <c r="A82">
        <f t="shared" si="5"/>
        <v>1700</v>
      </c>
      <c r="L82">
        <f t="shared" si="6"/>
        <v>1</v>
      </c>
      <c r="M82">
        <v>1700</v>
      </c>
      <c r="P82">
        <v>1700</v>
      </c>
      <c r="Q82" s="8"/>
      <c r="R82" s="8"/>
      <c r="S82" s="8"/>
      <c r="T82" s="59"/>
      <c r="U82">
        <f t="shared" si="7"/>
        <v>0</v>
      </c>
      <c r="Z82">
        <v>1700</v>
      </c>
    </row>
    <row r="83" spans="1:26" x14ac:dyDescent="0.2">
      <c r="A83">
        <f t="shared" si="5"/>
        <v>1800</v>
      </c>
      <c r="L83">
        <f t="shared" si="6"/>
        <v>1</v>
      </c>
      <c r="M83">
        <v>1800</v>
      </c>
      <c r="P83">
        <v>1800</v>
      </c>
      <c r="Q83" s="8"/>
      <c r="R83" s="8"/>
      <c r="S83" s="8"/>
      <c r="T83" s="59"/>
      <c r="U83">
        <f t="shared" si="7"/>
        <v>0</v>
      </c>
      <c r="Z83">
        <v>1800</v>
      </c>
    </row>
    <row r="84" spans="1:26" x14ac:dyDescent="0.2">
      <c r="A84">
        <f t="shared" si="5"/>
        <v>1900</v>
      </c>
      <c r="L84">
        <f t="shared" si="6"/>
        <v>1</v>
      </c>
      <c r="M84">
        <v>1900</v>
      </c>
      <c r="P84">
        <v>1900</v>
      </c>
      <c r="Q84" s="8"/>
      <c r="R84" s="8"/>
      <c r="S84" s="8"/>
      <c r="T84" s="59"/>
      <c r="U84">
        <f t="shared" si="7"/>
        <v>0</v>
      </c>
      <c r="Z84">
        <v>1900</v>
      </c>
    </row>
    <row r="85" spans="1:26" x14ac:dyDescent="0.2">
      <c r="A85">
        <f t="shared" si="5"/>
        <v>1950</v>
      </c>
      <c r="L85">
        <f t="shared" si="6"/>
        <v>1</v>
      </c>
      <c r="M85">
        <v>1950</v>
      </c>
      <c r="Q85" s="8"/>
      <c r="R85" s="8"/>
      <c r="S85" s="8"/>
      <c r="T85" s="59"/>
    </row>
    <row r="86" spans="1:26" x14ac:dyDescent="0.2">
      <c r="A86">
        <f t="shared" si="5"/>
        <v>1950</v>
      </c>
      <c r="L86">
        <f t="shared" si="6"/>
        <v>1</v>
      </c>
      <c r="M86">
        <v>1950</v>
      </c>
      <c r="Q86" s="8"/>
      <c r="R86" s="8"/>
      <c r="S86" s="8"/>
      <c r="T86" s="59"/>
    </row>
    <row r="87" spans="1:26" x14ac:dyDescent="0.2">
      <c r="A87">
        <f t="shared" si="5"/>
        <v>2000</v>
      </c>
      <c r="L87">
        <f t="shared" si="6"/>
        <v>1</v>
      </c>
      <c r="M87">
        <v>2000</v>
      </c>
      <c r="P87">
        <v>2000</v>
      </c>
      <c r="Q87" s="8"/>
      <c r="R87" s="8"/>
      <c r="S87" s="8"/>
      <c r="T87" s="59"/>
      <c r="U87">
        <f t="shared" si="7"/>
        <v>0</v>
      </c>
      <c r="Z87">
        <v>2000</v>
      </c>
    </row>
    <row r="88" spans="1:26" x14ac:dyDescent="0.2">
      <c r="A88">
        <f t="shared" si="5"/>
        <v>2100</v>
      </c>
      <c r="L88">
        <f t="shared" si="6"/>
        <v>1</v>
      </c>
      <c r="M88">
        <v>2100</v>
      </c>
      <c r="P88">
        <v>2100</v>
      </c>
      <c r="Q88" s="8"/>
      <c r="R88" s="8"/>
      <c r="S88" s="8"/>
      <c r="T88" s="59">
        <v>0.01</v>
      </c>
      <c r="U88">
        <f t="shared" si="7"/>
        <v>0</v>
      </c>
      <c r="Z88">
        <v>2100</v>
      </c>
    </row>
    <row r="89" spans="1:26" x14ac:dyDescent="0.2">
      <c r="A89">
        <f t="shared" si="5"/>
        <v>2200</v>
      </c>
      <c r="L89">
        <f t="shared" si="6"/>
        <v>1</v>
      </c>
      <c r="M89">
        <v>2200</v>
      </c>
      <c r="P89">
        <v>2200</v>
      </c>
      <c r="Q89" s="8"/>
      <c r="R89" s="8"/>
      <c r="S89" s="8"/>
      <c r="T89" s="59"/>
      <c r="U89">
        <f t="shared" si="7"/>
        <v>0</v>
      </c>
      <c r="Z89">
        <v>2200</v>
      </c>
    </row>
    <row r="90" spans="1:26" x14ac:dyDescent="0.2">
      <c r="A90">
        <f t="shared" si="5"/>
        <v>2210</v>
      </c>
      <c r="L90">
        <f t="shared" si="6"/>
        <v>1</v>
      </c>
      <c r="M90">
        <v>2210</v>
      </c>
      <c r="Q90" s="8"/>
      <c r="R90" s="8"/>
      <c r="S90" s="8"/>
      <c r="T90" s="59"/>
    </row>
    <row r="91" spans="1:26" x14ac:dyDescent="0.2">
      <c r="A91">
        <f t="shared" si="5"/>
        <v>2210</v>
      </c>
      <c r="L91">
        <f t="shared" si="6"/>
        <v>1</v>
      </c>
      <c r="M91">
        <v>2210</v>
      </c>
      <c r="Q91" s="8"/>
      <c r="R91" s="8"/>
      <c r="S91" s="8"/>
      <c r="T91" s="59"/>
    </row>
    <row r="92" spans="1:26" x14ac:dyDescent="0.2">
      <c r="A92">
        <f t="shared" si="5"/>
        <v>2300</v>
      </c>
      <c r="L92">
        <f t="shared" si="6"/>
        <v>1</v>
      </c>
      <c r="M92">
        <v>2300</v>
      </c>
      <c r="P92">
        <v>2300</v>
      </c>
      <c r="Q92" s="8"/>
      <c r="R92" s="8"/>
      <c r="S92" s="8"/>
      <c r="T92" s="59"/>
      <c r="U92">
        <f t="shared" si="7"/>
        <v>0</v>
      </c>
      <c r="Z92">
        <v>2300</v>
      </c>
    </row>
    <row r="93" spans="1:26" x14ac:dyDescent="0.2">
      <c r="A93">
        <f t="shared" si="5"/>
        <v>2400</v>
      </c>
      <c r="L93">
        <f t="shared" si="6"/>
        <v>1</v>
      </c>
      <c r="M93">
        <v>2400</v>
      </c>
      <c r="P93">
        <v>2400</v>
      </c>
      <c r="Q93" s="8"/>
      <c r="R93" s="8"/>
      <c r="S93" s="8"/>
      <c r="T93" s="59"/>
      <c r="U93">
        <f t="shared" si="7"/>
        <v>0</v>
      </c>
      <c r="Z93">
        <v>2400</v>
      </c>
    </row>
    <row r="94" spans="1:26" x14ac:dyDescent="0.2">
      <c r="A94">
        <f t="shared" si="5"/>
        <v>2500</v>
      </c>
      <c r="L94">
        <f t="shared" si="6"/>
        <v>1</v>
      </c>
      <c r="M94">
        <v>2500</v>
      </c>
      <c r="P94">
        <v>2500</v>
      </c>
      <c r="Q94" s="8"/>
      <c r="R94" s="8"/>
      <c r="S94" s="8"/>
      <c r="T94" s="59"/>
      <c r="U94">
        <f t="shared" si="7"/>
        <v>0</v>
      </c>
      <c r="Z94">
        <v>2500</v>
      </c>
    </row>
    <row r="95" spans="1:26" x14ac:dyDescent="0.2">
      <c r="A95">
        <f t="shared" si="5"/>
        <v>2600</v>
      </c>
      <c r="L95">
        <f t="shared" si="6"/>
        <v>1</v>
      </c>
      <c r="M95">
        <v>2600</v>
      </c>
      <c r="P95">
        <v>2600</v>
      </c>
      <c r="Q95" s="8"/>
      <c r="R95" s="8"/>
      <c r="S95" s="8"/>
      <c r="T95" s="59"/>
      <c r="U95">
        <f t="shared" si="7"/>
        <v>0</v>
      </c>
      <c r="Z95">
        <v>2600</v>
      </c>
    </row>
    <row r="96" spans="1:26" x14ac:dyDescent="0.2">
      <c r="A96">
        <f t="shared" si="5"/>
        <v>2700</v>
      </c>
      <c r="L96">
        <f t="shared" si="6"/>
        <v>1</v>
      </c>
      <c r="M96">
        <v>2700</v>
      </c>
      <c r="P96">
        <v>2700</v>
      </c>
      <c r="Q96" s="8"/>
      <c r="R96" s="8"/>
      <c r="S96" s="8"/>
      <c r="T96" s="59"/>
      <c r="U96">
        <f t="shared" si="7"/>
        <v>0</v>
      </c>
      <c r="Z96">
        <v>2700</v>
      </c>
    </row>
    <row r="97" spans="1:26" x14ac:dyDescent="0.2">
      <c r="A97">
        <f t="shared" si="5"/>
        <v>2800</v>
      </c>
      <c r="L97">
        <f t="shared" si="6"/>
        <v>1</v>
      </c>
      <c r="M97">
        <v>2800</v>
      </c>
      <c r="P97">
        <v>2800</v>
      </c>
      <c r="Q97" s="8"/>
      <c r="R97" s="8"/>
      <c r="S97" s="8"/>
      <c r="T97" s="59"/>
      <c r="U97">
        <f t="shared" si="7"/>
        <v>0</v>
      </c>
      <c r="Z97">
        <v>2800</v>
      </c>
    </row>
    <row r="98" spans="1:26" x14ac:dyDescent="0.2">
      <c r="A98">
        <f t="shared" si="5"/>
        <v>2900</v>
      </c>
      <c r="L98">
        <f t="shared" si="6"/>
        <v>1</v>
      </c>
      <c r="M98">
        <v>2900</v>
      </c>
      <c r="P98">
        <v>2900</v>
      </c>
      <c r="Q98" s="8"/>
      <c r="R98" s="8"/>
      <c r="S98" s="8"/>
      <c r="T98" s="59"/>
      <c r="U98">
        <f t="shared" si="7"/>
        <v>0</v>
      </c>
      <c r="Z98">
        <v>2900</v>
      </c>
    </row>
    <row r="99" spans="1:26" x14ac:dyDescent="0.2">
      <c r="A99">
        <f t="shared" si="5"/>
        <v>3000</v>
      </c>
      <c r="L99">
        <f t="shared" si="6"/>
        <v>1</v>
      </c>
      <c r="M99">
        <v>3000</v>
      </c>
      <c r="P99">
        <v>3000</v>
      </c>
      <c r="Q99" s="8"/>
      <c r="R99" s="8"/>
      <c r="S99" s="8"/>
      <c r="T99" s="59"/>
      <c r="U99">
        <f t="shared" si="7"/>
        <v>0</v>
      </c>
      <c r="Z99">
        <v>3000</v>
      </c>
    </row>
    <row r="100" spans="1:26" x14ac:dyDescent="0.2">
      <c r="A100">
        <f t="shared" si="5"/>
        <v>3500</v>
      </c>
      <c r="L100">
        <f t="shared" si="6"/>
        <v>1</v>
      </c>
      <c r="M100">
        <v>3500</v>
      </c>
      <c r="P100">
        <v>3500</v>
      </c>
      <c r="Q100" s="8"/>
      <c r="R100" s="8"/>
      <c r="S100" s="8"/>
      <c r="T100" s="59"/>
      <c r="U100">
        <f t="shared" si="7"/>
        <v>0</v>
      </c>
      <c r="Z100">
        <v>3500</v>
      </c>
    </row>
    <row r="101" spans="1:26" x14ac:dyDescent="0.2">
      <c r="A101">
        <f t="shared" si="5"/>
        <v>4000</v>
      </c>
      <c r="L101">
        <f t="shared" si="6"/>
        <v>1</v>
      </c>
      <c r="M101">
        <v>4000</v>
      </c>
      <c r="P101">
        <v>4000</v>
      </c>
      <c r="Q101" s="8"/>
      <c r="R101" s="8"/>
      <c r="S101" s="8"/>
      <c r="T101" s="59"/>
      <c r="U101">
        <f t="shared" si="7"/>
        <v>0</v>
      </c>
      <c r="Z101">
        <v>4000</v>
      </c>
    </row>
    <row r="102" spans="1:26" x14ac:dyDescent="0.2">
      <c r="A102">
        <f t="shared" si="5"/>
        <v>4500</v>
      </c>
      <c r="L102">
        <f t="shared" si="6"/>
        <v>1</v>
      </c>
      <c r="M102">
        <v>4500</v>
      </c>
      <c r="P102">
        <v>4500</v>
      </c>
      <c r="Q102" s="8"/>
      <c r="R102" s="8"/>
      <c r="S102" s="8"/>
      <c r="T102" s="59"/>
      <c r="U102">
        <f t="shared" si="7"/>
        <v>0</v>
      </c>
      <c r="Z102">
        <v>4500</v>
      </c>
    </row>
    <row r="103" spans="1:26" x14ac:dyDescent="0.2">
      <c r="A103">
        <f t="shared" si="5"/>
        <v>5000</v>
      </c>
      <c r="L103">
        <f t="shared" si="6"/>
        <v>1</v>
      </c>
      <c r="M103">
        <v>5000</v>
      </c>
      <c r="P103">
        <v>5000</v>
      </c>
      <c r="Q103" s="8"/>
      <c r="R103" s="8">
        <v>2.4E-2</v>
      </c>
      <c r="S103" s="8"/>
      <c r="T103" s="59"/>
      <c r="U103">
        <f t="shared" si="7"/>
        <v>0</v>
      </c>
      <c r="Z103">
        <v>5000</v>
      </c>
    </row>
    <row r="104" spans="1:26" x14ac:dyDescent="0.2">
      <c r="A104">
        <f t="shared" si="5"/>
        <v>5500</v>
      </c>
      <c r="L104">
        <f t="shared" si="6"/>
        <v>1</v>
      </c>
      <c r="M104">
        <v>5500</v>
      </c>
      <c r="P104">
        <v>5500</v>
      </c>
      <c r="Q104" s="8"/>
      <c r="R104" s="8"/>
      <c r="S104" s="8"/>
      <c r="T104" s="59"/>
      <c r="U104">
        <f t="shared" si="7"/>
        <v>0</v>
      </c>
      <c r="Z104">
        <v>5500</v>
      </c>
    </row>
    <row r="105" spans="1:26" x14ac:dyDescent="0.2">
      <c r="A105">
        <f t="shared" si="5"/>
        <v>6000</v>
      </c>
      <c r="L105">
        <f t="shared" si="6"/>
        <v>1</v>
      </c>
      <c r="M105">
        <v>6000</v>
      </c>
      <c r="P105">
        <v>6000</v>
      </c>
      <c r="Q105" s="8"/>
      <c r="R105" s="8"/>
      <c r="S105" s="8"/>
      <c r="T105" s="59"/>
      <c r="U105">
        <f t="shared" si="7"/>
        <v>0</v>
      </c>
      <c r="Z105">
        <v>6000</v>
      </c>
    </row>
    <row r="106" spans="1:26" x14ac:dyDescent="0.2">
      <c r="A106">
        <f t="shared" si="5"/>
        <v>6500</v>
      </c>
      <c r="L106">
        <f t="shared" si="6"/>
        <v>1</v>
      </c>
      <c r="M106">
        <v>6500</v>
      </c>
      <c r="P106">
        <v>6500</v>
      </c>
      <c r="Q106" s="8"/>
      <c r="R106" s="8"/>
      <c r="S106" s="8"/>
      <c r="T106" s="59"/>
      <c r="U106">
        <f t="shared" si="7"/>
        <v>0</v>
      </c>
      <c r="Z106">
        <v>6500</v>
      </c>
    </row>
    <row r="107" spans="1:26" x14ac:dyDescent="0.2">
      <c r="A107">
        <f t="shared" si="5"/>
        <v>7000</v>
      </c>
      <c r="L107">
        <f t="shared" si="6"/>
        <v>1</v>
      </c>
      <c r="M107">
        <v>7000</v>
      </c>
      <c r="P107">
        <v>7000</v>
      </c>
      <c r="Q107" s="8">
        <v>0.02</v>
      </c>
      <c r="R107" s="8"/>
      <c r="S107" s="8"/>
      <c r="T107" s="59"/>
      <c r="U107">
        <f t="shared" si="7"/>
        <v>0</v>
      </c>
      <c r="Z107">
        <v>7000</v>
      </c>
    </row>
    <row r="108" spans="1:26" x14ac:dyDescent="0.2">
      <c r="A108">
        <f t="shared" si="5"/>
        <v>7500</v>
      </c>
      <c r="L108">
        <f t="shared" si="6"/>
        <v>1</v>
      </c>
      <c r="M108">
        <v>7500</v>
      </c>
      <c r="P108">
        <v>7500</v>
      </c>
      <c r="Q108" s="8"/>
      <c r="R108" s="8"/>
      <c r="S108" s="8"/>
      <c r="T108" s="59"/>
      <c r="U108">
        <f t="shared" si="7"/>
        <v>0</v>
      </c>
      <c r="Z108">
        <v>7500</v>
      </c>
    </row>
    <row r="109" spans="1:26" x14ac:dyDescent="0.2">
      <c r="A109">
        <f t="shared" si="5"/>
        <v>8000</v>
      </c>
      <c r="L109">
        <f t="shared" si="6"/>
        <v>1</v>
      </c>
      <c r="M109">
        <v>8000</v>
      </c>
      <c r="P109">
        <v>8000</v>
      </c>
      <c r="Q109" s="8"/>
      <c r="R109" s="8"/>
      <c r="S109" s="8"/>
      <c r="T109" s="59"/>
      <c r="U109">
        <f t="shared" si="7"/>
        <v>0</v>
      </c>
      <c r="Z109">
        <v>8000</v>
      </c>
    </row>
    <row r="110" spans="1:26" hidden="1" x14ac:dyDescent="0.2">
      <c r="A110">
        <f t="shared" si="5"/>
        <v>8500</v>
      </c>
      <c r="L110">
        <f t="shared" si="6"/>
        <v>1</v>
      </c>
      <c r="M110">
        <v>8500</v>
      </c>
      <c r="P110">
        <v>8500</v>
      </c>
      <c r="Q110" s="8"/>
      <c r="R110" s="8"/>
      <c r="S110" s="8"/>
      <c r="T110" s="59"/>
      <c r="U110">
        <f t="shared" si="7"/>
        <v>0</v>
      </c>
      <c r="Z110">
        <v>8500</v>
      </c>
    </row>
    <row r="111" spans="1:26" x14ac:dyDescent="0.2">
      <c r="A111">
        <f t="shared" si="5"/>
        <v>9000</v>
      </c>
      <c r="L111">
        <f t="shared" si="6"/>
        <v>1</v>
      </c>
      <c r="M111">
        <v>9000</v>
      </c>
      <c r="P111">
        <v>9000</v>
      </c>
      <c r="Q111" s="8"/>
      <c r="R111" s="8"/>
      <c r="S111" s="8"/>
      <c r="T111" s="59"/>
      <c r="U111">
        <f t="shared" si="7"/>
        <v>0</v>
      </c>
      <c r="Z111">
        <v>9000</v>
      </c>
    </row>
    <row r="112" spans="1:26" x14ac:dyDescent="0.2">
      <c r="A112">
        <f>L112*M112</f>
        <v>9500</v>
      </c>
      <c r="L112">
        <f t="shared" si="6"/>
        <v>1</v>
      </c>
      <c r="M112">
        <v>9500</v>
      </c>
      <c r="P112">
        <v>9500</v>
      </c>
      <c r="Q112" s="8"/>
      <c r="R112" s="8"/>
      <c r="S112" s="8"/>
      <c r="T112" s="59"/>
      <c r="U112">
        <f t="shared" si="7"/>
        <v>0</v>
      </c>
      <c r="Z112">
        <v>9500</v>
      </c>
    </row>
    <row r="113" spans="1:26" x14ac:dyDescent="0.2">
      <c r="A113">
        <f>L113*M113</f>
        <v>10000</v>
      </c>
      <c r="L113">
        <f t="shared" si="6"/>
        <v>1</v>
      </c>
      <c r="M113">
        <v>10000</v>
      </c>
      <c r="P113">
        <v>10000</v>
      </c>
      <c r="Q113" s="8"/>
      <c r="R113" s="8"/>
      <c r="S113" s="8"/>
      <c r="T113" s="59"/>
      <c r="U113">
        <f t="shared" si="7"/>
        <v>0</v>
      </c>
      <c r="Z113">
        <v>10000</v>
      </c>
    </row>
    <row r="114" spans="1:26" x14ac:dyDescent="0.2">
      <c r="B114" t="s">
        <v>24</v>
      </c>
      <c r="C114" t="s">
        <v>24</v>
      </c>
      <c r="D114" t="s">
        <v>24</v>
      </c>
      <c r="E114" t="s">
        <v>24</v>
      </c>
      <c r="F114" t="s">
        <v>24</v>
      </c>
      <c r="G114" t="s">
        <v>24</v>
      </c>
      <c r="H114" t="s">
        <v>24</v>
      </c>
      <c r="I114" t="s">
        <v>24</v>
      </c>
      <c r="J114" t="s">
        <v>24</v>
      </c>
      <c r="K114" t="s">
        <v>24</v>
      </c>
      <c r="L114" t="s">
        <v>24</v>
      </c>
      <c r="M114">
        <v>800</v>
      </c>
    </row>
    <row r="175" spans="1:1" hidden="1" x14ac:dyDescent="0.2">
      <c r="A175" t="s">
        <v>25</v>
      </c>
    </row>
    <row r="176" spans="1:1" x14ac:dyDescent="0.2">
      <c r="A176">
        <f>IF(Faults!B4&gt;0,Faults!B4,1)</f>
        <v>1</v>
      </c>
    </row>
    <row r="177" spans="1:2" x14ac:dyDescent="0.2">
      <c r="A177">
        <f>A176</f>
        <v>1</v>
      </c>
    </row>
    <row r="178" spans="1:2" x14ac:dyDescent="0.2">
      <c r="B178">
        <f>Faults!D4</f>
        <v>4</v>
      </c>
    </row>
    <row r="179" spans="1:2" x14ac:dyDescent="0.2">
      <c r="A179" t="s">
        <v>28</v>
      </c>
      <c r="B179">
        <v>1E-3</v>
      </c>
    </row>
    <row r="180" spans="1:2" x14ac:dyDescent="0.2">
      <c r="A180">
        <f>IF(Faults!B8&gt;0,Faults!B8,1)</f>
        <v>1</v>
      </c>
    </row>
    <row r="181" spans="1:2" x14ac:dyDescent="0.2">
      <c r="A181">
        <f>A180</f>
        <v>1</v>
      </c>
    </row>
    <row r="182" spans="1:2" x14ac:dyDescent="0.2">
      <c r="B182">
        <f>Faults!D8</f>
        <v>4</v>
      </c>
    </row>
    <row r="183" spans="1:2" x14ac:dyDescent="0.2">
      <c r="A183" t="s">
        <v>29</v>
      </c>
      <c r="B183">
        <v>1E-3</v>
      </c>
    </row>
    <row r="184" spans="1:2" x14ac:dyDescent="0.2">
      <c r="A184">
        <f>IF(Faults!B12&gt;0,Faults!B12,1)</f>
        <v>1</v>
      </c>
    </row>
    <row r="185" spans="1:2" x14ac:dyDescent="0.2">
      <c r="A185">
        <f>A184</f>
        <v>1</v>
      </c>
    </row>
    <row r="186" spans="1:2" x14ac:dyDescent="0.2">
      <c r="B186">
        <f>Faults!D12</f>
        <v>4</v>
      </c>
    </row>
    <row r="187" spans="1:2" x14ac:dyDescent="0.2">
      <c r="A187" t="s">
        <v>30</v>
      </c>
      <c r="B187">
        <v>1E-3</v>
      </c>
    </row>
    <row r="188" spans="1:2" x14ac:dyDescent="0.2">
      <c r="A188">
        <f>IF(Faults!B16&gt;0,Faults!B16,1)</f>
        <v>1</v>
      </c>
    </row>
    <row r="189" spans="1:2" x14ac:dyDescent="0.2">
      <c r="A189">
        <f>A188</f>
        <v>1</v>
      </c>
    </row>
    <row r="190" spans="1:2" x14ac:dyDescent="0.2">
      <c r="B190">
        <f>Faults!D16</f>
        <v>4</v>
      </c>
    </row>
    <row r="191" spans="1:2" x14ac:dyDescent="0.2">
      <c r="A191" t="s">
        <v>31</v>
      </c>
      <c r="B191">
        <v>1E-3</v>
      </c>
    </row>
    <row r="192" spans="1:2" x14ac:dyDescent="0.2">
      <c r="A192">
        <f>IF(Faults!B20&gt;0,Faults!B20,1)</f>
        <v>1</v>
      </c>
    </row>
    <row r="193" spans="1:2" x14ac:dyDescent="0.2">
      <c r="A193">
        <f>A192</f>
        <v>1</v>
      </c>
    </row>
    <row r="194" spans="1:2" x14ac:dyDescent="0.2">
      <c r="B194">
        <f>Faults!D20</f>
        <v>4</v>
      </c>
    </row>
    <row r="195" spans="1:2" x14ac:dyDescent="0.2">
      <c r="A195" t="s">
        <v>32</v>
      </c>
      <c r="B195">
        <v>1E-3</v>
      </c>
    </row>
    <row r="196" spans="1:2" x14ac:dyDescent="0.2">
      <c r="A196">
        <f>IF(Faults!B24&gt;0,Faults!B24,1)</f>
        <v>1</v>
      </c>
    </row>
    <row r="197" spans="1:2" x14ac:dyDescent="0.2">
      <c r="A197">
        <f>A196</f>
        <v>1</v>
      </c>
    </row>
    <row r="198" spans="1:2" x14ac:dyDescent="0.2">
      <c r="B198">
        <f>Faults!D24</f>
        <v>4</v>
      </c>
    </row>
    <row r="199" spans="1:2" x14ac:dyDescent="0.2">
      <c r="A199" t="s">
        <v>33</v>
      </c>
      <c r="B199">
        <v>1E-3</v>
      </c>
    </row>
    <row r="200" spans="1:2" x14ac:dyDescent="0.2">
      <c r="A200">
        <f>IF(Faults!B28&gt;0,Faults!B28,1)</f>
        <v>1</v>
      </c>
    </row>
    <row r="201" spans="1:2" x14ac:dyDescent="0.2">
      <c r="A201">
        <f>A200</f>
        <v>1</v>
      </c>
    </row>
    <row r="202" spans="1:2" x14ac:dyDescent="0.2">
      <c r="B202">
        <f>Faults!D28</f>
        <v>4</v>
      </c>
    </row>
    <row r="203" spans="1:2" x14ac:dyDescent="0.2">
      <c r="A203" t="s">
        <v>34</v>
      </c>
      <c r="B203">
        <v>1E-3</v>
      </c>
    </row>
    <row r="204" spans="1:2" x14ac:dyDescent="0.2">
      <c r="A204">
        <f>IF(Faults!B32&gt;0,Faults!B32,1)</f>
        <v>1</v>
      </c>
    </row>
    <row r="205" spans="1:2" x14ac:dyDescent="0.2">
      <c r="A205">
        <f>A204</f>
        <v>1</v>
      </c>
    </row>
    <row r="206" spans="1:2" x14ac:dyDescent="0.2">
      <c r="B206">
        <f>Faults!D32</f>
        <v>4</v>
      </c>
    </row>
    <row r="207" spans="1:2" x14ac:dyDescent="0.2">
      <c r="A207" t="s">
        <v>35</v>
      </c>
      <c r="B207">
        <v>1E-3</v>
      </c>
    </row>
    <row r="208" spans="1:2" x14ac:dyDescent="0.2">
      <c r="A208">
        <f>IF(Faults!B36&gt;0,Faults!B36,1)</f>
        <v>1</v>
      </c>
    </row>
    <row r="209" spans="1:2" x14ac:dyDescent="0.2">
      <c r="A209">
        <f>A208</f>
        <v>1</v>
      </c>
    </row>
    <row r="210" spans="1:2" x14ac:dyDescent="0.2">
      <c r="B210">
        <f>Faults!D36</f>
        <v>4</v>
      </c>
    </row>
    <row r="211" spans="1:2" x14ac:dyDescent="0.2">
      <c r="A211" t="s">
        <v>36</v>
      </c>
      <c r="B211">
        <v>1E-3</v>
      </c>
    </row>
    <row r="212" spans="1:2" x14ac:dyDescent="0.2">
      <c r="A212">
        <f>IF(Faults!B40&gt;0,Faults!B40,1)</f>
        <v>1</v>
      </c>
    </row>
    <row r="213" spans="1:2" x14ac:dyDescent="0.2">
      <c r="A213">
        <f>A212</f>
        <v>1</v>
      </c>
    </row>
    <row r="214" spans="1:2" x14ac:dyDescent="0.2">
      <c r="B214">
        <f>Faults!D40</f>
        <v>4</v>
      </c>
    </row>
    <row r="215" spans="1:2" x14ac:dyDescent="0.2">
      <c r="A215" t="s">
        <v>113</v>
      </c>
      <c r="B215">
        <v>1E-3</v>
      </c>
    </row>
    <row r="216" spans="1:2" x14ac:dyDescent="0.2">
      <c r="A216">
        <f>IF(Faults!B44&gt;0,Faults!B44,1)</f>
        <v>1</v>
      </c>
    </row>
    <row r="217" spans="1:2" x14ac:dyDescent="0.2">
      <c r="A217">
        <f>A216</f>
        <v>1</v>
      </c>
    </row>
    <row r="218" spans="1:2" x14ac:dyDescent="0.2">
      <c r="B218">
        <f>Faults!D44</f>
        <v>4</v>
      </c>
    </row>
    <row r="219" spans="1:2" x14ac:dyDescent="0.2">
      <c r="A219" t="s">
        <v>114</v>
      </c>
      <c r="B219">
        <v>1E-3</v>
      </c>
    </row>
    <row r="220" spans="1:2" x14ac:dyDescent="0.2">
      <c r="A220">
        <f>IF(Faults!B48&gt;0,Faults!B48,1)</f>
        <v>1</v>
      </c>
    </row>
    <row r="221" spans="1:2" x14ac:dyDescent="0.2">
      <c r="A221">
        <f>A220</f>
        <v>1</v>
      </c>
    </row>
    <row r="222" spans="1:2" x14ac:dyDescent="0.2">
      <c r="B222">
        <f>Faults!D48</f>
        <v>4</v>
      </c>
    </row>
    <row r="223" spans="1:2" x14ac:dyDescent="0.2">
      <c r="A223" t="s">
        <v>115</v>
      </c>
      <c r="B223">
        <v>1E-3</v>
      </c>
    </row>
    <row r="224" spans="1:2" x14ac:dyDescent="0.2">
      <c r="A224">
        <f>IF(Faults!B52&gt;0,Faults!B52,1)</f>
        <v>1</v>
      </c>
    </row>
    <row r="225" spans="1:2" x14ac:dyDescent="0.2">
      <c r="A225">
        <f>A224</f>
        <v>1</v>
      </c>
    </row>
    <row r="226" spans="1:2" x14ac:dyDescent="0.2">
      <c r="B226">
        <f>Faults!D52</f>
        <v>4</v>
      </c>
    </row>
    <row r="227" spans="1:2" x14ac:dyDescent="0.2">
      <c r="A227" t="s">
        <v>116</v>
      </c>
      <c r="B227">
        <v>1E-3</v>
      </c>
    </row>
    <row r="228" spans="1:2" x14ac:dyDescent="0.2">
      <c r="A228">
        <f>IF(Faults!B56&gt;0,Faults!B56,1)</f>
        <v>1</v>
      </c>
    </row>
    <row r="229" spans="1:2" x14ac:dyDescent="0.2">
      <c r="A229">
        <f>A228</f>
        <v>1</v>
      </c>
    </row>
    <row r="230" spans="1:2" x14ac:dyDescent="0.2">
      <c r="B230">
        <f>Faults!D56</f>
        <v>4</v>
      </c>
    </row>
    <row r="231" spans="1:2" x14ac:dyDescent="0.2">
      <c r="A231" t="s">
        <v>117</v>
      </c>
      <c r="B231">
        <v>1E-3</v>
      </c>
    </row>
    <row r="232" spans="1:2" x14ac:dyDescent="0.2">
      <c r="A232">
        <f>IF(Faults!B60&gt;0,Faults!B60,1)</f>
        <v>1</v>
      </c>
    </row>
    <row r="233" spans="1:2" x14ac:dyDescent="0.2">
      <c r="A233">
        <f>A232</f>
        <v>1</v>
      </c>
    </row>
    <row r="234" spans="1:2" x14ac:dyDescent="0.2">
      <c r="B234">
        <f>Faults!D60</f>
        <v>4</v>
      </c>
    </row>
    <row r="235" spans="1:2" x14ac:dyDescent="0.2">
      <c r="A235" t="s">
        <v>118</v>
      </c>
      <c r="B235">
        <v>1E-3</v>
      </c>
    </row>
    <row r="236" spans="1:2" x14ac:dyDescent="0.2">
      <c r="A236">
        <f>IF(Faults!B64&gt;0,Faults!B64,1)</f>
        <v>1</v>
      </c>
    </row>
    <row r="237" spans="1:2" x14ac:dyDescent="0.2">
      <c r="A237">
        <f>A236</f>
        <v>1</v>
      </c>
    </row>
    <row r="238" spans="1:2" x14ac:dyDescent="0.2">
      <c r="B238">
        <f>Faults!D64</f>
        <v>4</v>
      </c>
    </row>
    <row r="239" spans="1:2" x14ac:dyDescent="0.2">
      <c r="A239" t="s">
        <v>119</v>
      </c>
      <c r="B239">
        <v>1E-3</v>
      </c>
    </row>
    <row r="240" spans="1:2" x14ac:dyDescent="0.2">
      <c r="A240">
        <f>IF(Faults!B68&gt;0,Faults!B68,1)</f>
        <v>1</v>
      </c>
    </row>
    <row r="241" spans="1:2" x14ac:dyDescent="0.2">
      <c r="A241">
        <f>A240</f>
        <v>1</v>
      </c>
    </row>
    <row r="242" spans="1:2" x14ac:dyDescent="0.2">
      <c r="B242">
        <f>Faults!D68</f>
        <v>4</v>
      </c>
    </row>
    <row r="243" spans="1:2" x14ac:dyDescent="0.2">
      <c r="A243" t="s">
        <v>120</v>
      </c>
      <c r="B243">
        <v>1E-3</v>
      </c>
    </row>
    <row r="244" spans="1:2" x14ac:dyDescent="0.2">
      <c r="A244">
        <f>IF(Faults!B72&gt;0,Faults!B72,1)</f>
        <v>1</v>
      </c>
    </row>
    <row r="245" spans="1:2" x14ac:dyDescent="0.2">
      <c r="A245">
        <f>A244</f>
        <v>1</v>
      </c>
    </row>
    <row r="246" spans="1:2" x14ac:dyDescent="0.2">
      <c r="B246">
        <f>Faults!D72</f>
        <v>4</v>
      </c>
    </row>
    <row r="247" spans="1:2" x14ac:dyDescent="0.2">
      <c r="A247" t="s">
        <v>121</v>
      </c>
      <c r="B247">
        <v>1E-3</v>
      </c>
    </row>
    <row r="248" spans="1:2" x14ac:dyDescent="0.2">
      <c r="A248">
        <f>IF(Faults!B76&gt;0,Faults!B76,1)</f>
        <v>1</v>
      </c>
    </row>
    <row r="249" spans="1:2" x14ac:dyDescent="0.2">
      <c r="A249">
        <f>A248</f>
        <v>1</v>
      </c>
    </row>
    <row r="250" spans="1:2" x14ac:dyDescent="0.2">
      <c r="B250">
        <f>Faults!D76</f>
        <v>4</v>
      </c>
    </row>
    <row r="251" spans="1:2" x14ac:dyDescent="0.2">
      <c r="A251" t="s">
        <v>122</v>
      </c>
      <c r="B251">
        <v>1E-3</v>
      </c>
    </row>
    <row r="252" spans="1:2" x14ac:dyDescent="0.2">
      <c r="A252">
        <f>IF(Faults!B80&gt;0,Faults!B80,1)</f>
        <v>1</v>
      </c>
    </row>
    <row r="253" spans="1:2" x14ac:dyDescent="0.2">
      <c r="A253">
        <f>A252</f>
        <v>1</v>
      </c>
    </row>
    <row r="254" spans="1:2" x14ac:dyDescent="0.2">
      <c r="B254">
        <f>Faults!D80</f>
        <v>4</v>
      </c>
    </row>
    <row r="255" spans="1:2" x14ac:dyDescent="0.2">
      <c r="B255">
        <v>1E-3</v>
      </c>
    </row>
  </sheetData>
  <phoneticPr fontId="8"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2"/>
  <dimension ref="A2:W80"/>
  <sheetViews>
    <sheetView workbookViewId="0">
      <selection activeCell="L22" sqref="L22"/>
    </sheetView>
  </sheetViews>
  <sheetFormatPr defaultRowHeight="15.75" customHeight="1" x14ac:dyDescent="0.2"/>
  <cols>
    <col min="1" max="1" width="16.42578125" customWidth="1"/>
    <col min="2" max="2" width="18.28515625" customWidth="1"/>
    <col min="3" max="3" width="4.28515625" customWidth="1"/>
    <col min="4" max="5" width="11.42578125" customWidth="1"/>
    <col min="6" max="6" width="9.140625" style="8"/>
  </cols>
  <sheetData>
    <row r="2" spans="1:23" ht="18" customHeight="1" x14ac:dyDescent="0.2">
      <c r="A2" s="5" t="s">
        <v>25</v>
      </c>
      <c r="B2" s="8" t="b">
        <v>0</v>
      </c>
      <c r="D2" t="s">
        <v>61</v>
      </c>
      <c r="G2" s="8"/>
      <c r="W2" t="s">
        <v>15</v>
      </c>
    </row>
    <row r="3" spans="1:23" ht="15.75" customHeight="1" x14ac:dyDescent="0.2">
      <c r="A3" s="4" t="s">
        <v>26</v>
      </c>
      <c r="B3" s="99" t="s">
        <v>251</v>
      </c>
      <c r="F3" s="112"/>
      <c r="G3" s="8">
        <v>6</v>
      </c>
      <c r="W3" t="s">
        <v>16</v>
      </c>
    </row>
    <row r="4" spans="1:23" ht="15.75" customHeight="1" x14ac:dyDescent="0.2">
      <c r="A4" s="4" t="s">
        <v>27</v>
      </c>
      <c r="B4" s="25"/>
      <c r="C4" t="s">
        <v>13</v>
      </c>
      <c r="D4" s="9">
        <v>4</v>
      </c>
      <c r="E4" t="s">
        <v>23</v>
      </c>
      <c r="G4">
        <v>1</v>
      </c>
    </row>
    <row r="5" spans="1:23" ht="15.75" customHeight="1" x14ac:dyDescent="0.2">
      <c r="W5" t="s">
        <v>20</v>
      </c>
    </row>
    <row r="6" spans="1:23" ht="18" customHeight="1" x14ac:dyDescent="0.2">
      <c r="A6" s="5" t="s">
        <v>28</v>
      </c>
      <c r="B6" s="8" t="b">
        <v>0</v>
      </c>
      <c r="D6" t="s">
        <v>61</v>
      </c>
    </row>
    <row r="7" spans="1:23" ht="15.75" customHeight="1" x14ac:dyDescent="0.2">
      <c r="A7" s="4" t="s">
        <v>26</v>
      </c>
      <c r="B7" s="99" t="s">
        <v>248</v>
      </c>
      <c r="F7" s="112"/>
      <c r="G7" s="8">
        <v>6</v>
      </c>
    </row>
    <row r="8" spans="1:23" ht="15.75" customHeight="1" x14ac:dyDescent="0.2">
      <c r="A8" s="4" t="s">
        <v>27</v>
      </c>
      <c r="B8" s="25"/>
      <c r="C8" t="s">
        <v>13</v>
      </c>
      <c r="D8" s="9">
        <v>4</v>
      </c>
      <c r="E8" t="s">
        <v>23</v>
      </c>
      <c r="G8">
        <v>1</v>
      </c>
    </row>
    <row r="10" spans="1:23" ht="18" customHeight="1" x14ac:dyDescent="0.2">
      <c r="A10" s="5" t="s">
        <v>29</v>
      </c>
      <c r="B10" s="8" t="b">
        <v>0</v>
      </c>
      <c r="D10" t="s">
        <v>61</v>
      </c>
    </row>
    <row r="11" spans="1:23" ht="15.75" customHeight="1" x14ac:dyDescent="0.2">
      <c r="A11" s="4" t="s">
        <v>26</v>
      </c>
      <c r="B11" s="99" t="s">
        <v>249</v>
      </c>
      <c r="F11" s="112"/>
      <c r="G11" s="8">
        <v>1</v>
      </c>
    </row>
    <row r="12" spans="1:23" ht="15.75" customHeight="1" x14ac:dyDescent="0.2">
      <c r="A12" s="4" t="s">
        <v>27</v>
      </c>
      <c r="B12" s="25"/>
      <c r="C12" t="s">
        <v>13</v>
      </c>
      <c r="D12" s="9">
        <v>4</v>
      </c>
      <c r="E12" t="s">
        <v>23</v>
      </c>
      <c r="G12">
        <v>1</v>
      </c>
    </row>
    <row r="14" spans="1:23" ht="18" customHeight="1" x14ac:dyDescent="0.2">
      <c r="A14" s="5" t="s">
        <v>30</v>
      </c>
      <c r="B14" s="8" t="b">
        <v>0</v>
      </c>
      <c r="D14" t="s">
        <v>61</v>
      </c>
    </row>
    <row r="15" spans="1:23" ht="15.75" customHeight="1" x14ac:dyDescent="0.2">
      <c r="A15" s="4" t="s">
        <v>26</v>
      </c>
      <c r="B15" s="25" t="s">
        <v>250</v>
      </c>
      <c r="F15" s="112"/>
      <c r="G15" s="8">
        <v>1</v>
      </c>
    </row>
    <row r="16" spans="1:23" ht="15.75" customHeight="1" x14ac:dyDescent="0.2">
      <c r="A16" s="4" t="s">
        <v>27</v>
      </c>
      <c r="B16" s="25"/>
      <c r="C16" t="s">
        <v>13</v>
      </c>
      <c r="D16" s="9">
        <v>4</v>
      </c>
      <c r="E16" t="s">
        <v>23</v>
      </c>
      <c r="G16">
        <v>1</v>
      </c>
    </row>
    <row r="18" spans="1:7" ht="18" customHeight="1" x14ac:dyDescent="0.2">
      <c r="A18" s="5" t="s">
        <v>31</v>
      </c>
      <c r="B18" s="8" t="b">
        <v>0</v>
      </c>
      <c r="D18" t="s">
        <v>61</v>
      </c>
    </row>
    <row r="19" spans="1:7" ht="15.75" customHeight="1" x14ac:dyDescent="0.2">
      <c r="A19" s="4" t="s">
        <v>26</v>
      </c>
      <c r="B19" s="25" t="s">
        <v>239</v>
      </c>
      <c r="F19" s="112"/>
      <c r="G19" s="8">
        <v>1</v>
      </c>
    </row>
    <row r="20" spans="1:7" ht="15.75" customHeight="1" x14ac:dyDescent="0.2">
      <c r="A20" s="4" t="s">
        <v>27</v>
      </c>
      <c r="B20" s="25"/>
      <c r="C20" t="s">
        <v>13</v>
      </c>
      <c r="D20" s="9">
        <v>4</v>
      </c>
      <c r="E20" t="s">
        <v>23</v>
      </c>
      <c r="G20">
        <v>1</v>
      </c>
    </row>
    <row r="22" spans="1:7" ht="18" customHeight="1" x14ac:dyDescent="0.2">
      <c r="A22" s="5" t="s">
        <v>32</v>
      </c>
      <c r="B22" s="8" t="b">
        <v>0</v>
      </c>
      <c r="D22" t="s">
        <v>61</v>
      </c>
    </row>
    <row r="23" spans="1:7" ht="15.75" customHeight="1" x14ac:dyDescent="0.2">
      <c r="A23" s="4" t="s">
        <v>26</v>
      </c>
      <c r="B23" s="25" t="s">
        <v>238</v>
      </c>
      <c r="F23" s="112"/>
      <c r="G23" s="8">
        <v>4</v>
      </c>
    </row>
    <row r="24" spans="1:7" ht="15.75" customHeight="1" x14ac:dyDescent="0.2">
      <c r="A24" s="4" t="s">
        <v>27</v>
      </c>
      <c r="B24" s="25"/>
      <c r="C24" t="s">
        <v>13</v>
      </c>
      <c r="D24" s="9">
        <v>4</v>
      </c>
      <c r="E24" t="s">
        <v>23</v>
      </c>
      <c r="G24">
        <v>1</v>
      </c>
    </row>
    <row r="26" spans="1:7" ht="18" customHeight="1" x14ac:dyDescent="0.2">
      <c r="A26" s="5" t="s">
        <v>33</v>
      </c>
      <c r="B26" s="8" t="b">
        <v>0</v>
      </c>
      <c r="D26" t="s">
        <v>61</v>
      </c>
    </row>
    <row r="27" spans="1:7" ht="15.75" customHeight="1" x14ac:dyDescent="0.2">
      <c r="A27" s="4" t="s">
        <v>26</v>
      </c>
      <c r="B27" s="25" t="s">
        <v>110</v>
      </c>
      <c r="F27" s="112"/>
      <c r="G27" s="8">
        <v>7</v>
      </c>
    </row>
    <row r="28" spans="1:7" ht="15.75" customHeight="1" x14ac:dyDescent="0.2">
      <c r="A28" s="4" t="s">
        <v>27</v>
      </c>
      <c r="B28" s="25"/>
      <c r="C28" t="s">
        <v>13</v>
      </c>
      <c r="D28" s="9">
        <v>4</v>
      </c>
      <c r="E28" t="s">
        <v>23</v>
      </c>
      <c r="G28">
        <v>1</v>
      </c>
    </row>
    <row r="30" spans="1:7" ht="18" customHeight="1" x14ac:dyDescent="0.2">
      <c r="A30" s="5" t="s">
        <v>34</v>
      </c>
      <c r="B30" s="8" t="b">
        <v>0</v>
      </c>
      <c r="D30" t="s">
        <v>61</v>
      </c>
    </row>
    <row r="31" spans="1:7" ht="15.75" customHeight="1" x14ac:dyDescent="0.2">
      <c r="A31" s="4" t="s">
        <v>26</v>
      </c>
      <c r="B31" s="25" t="s">
        <v>111</v>
      </c>
      <c r="F31" s="112"/>
      <c r="G31" s="8">
        <v>4</v>
      </c>
    </row>
    <row r="32" spans="1:7" ht="15.75" customHeight="1" x14ac:dyDescent="0.2">
      <c r="A32" s="4" t="s">
        <v>27</v>
      </c>
      <c r="B32" s="25"/>
      <c r="C32" t="s">
        <v>13</v>
      </c>
      <c r="D32" s="9">
        <v>4</v>
      </c>
      <c r="E32" t="s">
        <v>23</v>
      </c>
      <c r="G32">
        <v>1</v>
      </c>
    </row>
    <row r="34" spans="1:23" ht="18" customHeight="1" x14ac:dyDescent="0.2">
      <c r="A34" s="5" t="s">
        <v>35</v>
      </c>
      <c r="B34" s="8" t="b">
        <v>0</v>
      </c>
      <c r="D34" t="s">
        <v>61</v>
      </c>
    </row>
    <row r="35" spans="1:23" ht="15.75" customHeight="1" x14ac:dyDescent="0.2">
      <c r="A35" s="4" t="s">
        <v>26</v>
      </c>
      <c r="B35" s="25" t="s">
        <v>112</v>
      </c>
      <c r="F35" s="112"/>
      <c r="G35" s="8">
        <v>1</v>
      </c>
    </row>
    <row r="36" spans="1:23" ht="15.75" customHeight="1" x14ac:dyDescent="0.2">
      <c r="A36" s="4" t="s">
        <v>27</v>
      </c>
      <c r="B36" s="25"/>
      <c r="C36" t="s">
        <v>13</v>
      </c>
      <c r="D36" s="9">
        <v>4</v>
      </c>
      <c r="E36" t="s">
        <v>23</v>
      </c>
      <c r="G36">
        <v>1</v>
      </c>
    </row>
    <row r="38" spans="1:23" ht="18" customHeight="1" x14ac:dyDescent="0.2">
      <c r="A38" s="5" t="s">
        <v>36</v>
      </c>
      <c r="B38" s="8" t="b">
        <v>0</v>
      </c>
      <c r="D38" t="s">
        <v>61</v>
      </c>
    </row>
    <row r="39" spans="1:23" ht="15.75" customHeight="1" x14ac:dyDescent="0.2">
      <c r="A39" s="4" t="s">
        <v>26</v>
      </c>
      <c r="B39" s="25" t="s">
        <v>64</v>
      </c>
      <c r="F39" s="112"/>
      <c r="G39" s="8">
        <v>2</v>
      </c>
    </row>
    <row r="40" spans="1:23" ht="15.75" customHeight="1" x14ac:dyDescent="0.2">
      <c r="A40" s="4" t="s">
        <v>27</v>
      </c>
      <c r="B40" s="25"/>
      <c r="C40" t="s">
        <v>13</v>
      </c>
      <c r="D40" s="9">
        <v>4</v>
      </c>
      <c r="E40" t="s">
        <v>23</v>
      </c>
      <c r="G40">
        <v>1</v>
      </c>
    </row>
    <row r="42" spans="1:23" ht="18" customHeight="1" x14ac:dyDescent="0.2">
      <c r="A42" s="5" t="s">
        <v>113</v>
      </c>
      <c r="B42" s="8" t="b">
        <v>0</v>
      </c>
      <c r="D42" t="s">
        <v>61</v>
      </c>
      <c r="W42" t="s">
        <v>15</v>
      </c>
    </row>
    <row r="43" spans="1:23" ht="15.75" customHeight="1" x14ac:dyDescent="0.2">
      <c r="A43" s="4" t="s">
        <v>26</v>
      </c>
      <c r="B43" s="25" t="s">
        <v>136</v>
      </c>
      <c r="F43" s="112"/>
      <c r="G43" s="8">
        <v>2</v>
      </c>
      <c r="W43" t="s">
        <v>16</v>
      </c>
    </row>
    <row r="44" spans="1:23" ht="15.75" customHeight="1" x14ac:dyDescent="0.2">
      <c r="A44" s="4" t="s">
        <v>27</v>
      </c>
      <c r="B44" s="25"/>
      <c r="C44" t="s">
        <v>13</v>
      </c>
      <c r="D44" s="9">
        <v>4</v>
      </c>
      <c r="E44" t="s">
        <v>23</v>
      </c>
      <c r="G44">
        <v>1</v>
      </c>
    </row>
    <row r="45" spans="1:23" ht="15.75" customHeight="1" x14ac:dyDescent="0.2">
      <c r="W45" t="s">
        <v>20</v>
      </c>
    </row>
    <row r="46" spans="1:23" ht="18" customHeight="1" x14ac:dyDescent="0.2">
      <c r="A46" s="5" t="s">
        <v>114</v>
      </c>
      <c r="B46" s="8" t="b">
        <v>0</v>
      </c>
      <c r="D46" t="s">
        <v>61</v>
      </c>
    </row>
    <row r="47" spans="1:23" ht="15.75" customHeight="1" x14ac:dyDescent="0.2">
      <c r="A47" s="4" t="s">
        <v>26</v>
      </c>
      <c r="B47" s="25" t="s">
        <v>137</v>
      </c>
      <c r="F47" s="112"/>
      <c r="G47" s="8">
        <v>2</v>
      </c>
    </row>
    <row r="48" spans="1:23" ht="15.75" customHeight="1" x14ac:dyDescent="0.2">
      <c r="A48" s="4" t="s">
        <v>27</v>
      </c>
      <c r="B48" s="25"/>
      <c r="C48" t="s">
        <v>13</v>
      </c>
      <c r="D48" s="9">
        <v>4</v>
      </c>
      <c r="E48" t="s">
        <v>23</v>
      </c>
      <c r="G48">
        <v>1</v>
      </c>
    </row>
    <row r="50" spans="1:7" ht="18" customHeight="1" x14ac:dyDescent="0.2">
      <c r="A50" s="5" t="s">
        <v>115</v>
      </c>
      <c r="B50" s="8" t="b">
        <v>0</v>
      </c>
      <c r="D50" t="s">
        <v>61</v>
      </c>
    </row>
    <row r="51" spans="1:7" ht="15.75" customHeight="1" x14ac:dyDescent="0.2">
      <c r="A51" s="4" t="s">
        <v>26</v>
      </c>
      <c r="B51" s="25" t="s">
        <v>138</v>
      </c>
      <c r="F51" s="112"/>
      <c r="G51" s="8">
        <v>4</v>
      </c>
    </row>
    <row r="52" spans="1:7" ht="15.75" customHeight="1" x14ac:dyDescent="0.2">
      <c r="A52" s="4" t="s">
        <v>27</v>
      </c>
      <c r="B52" s="25"/>
      <c r="C52" t="s">
        <v>13</v>
      </c>
      <c r="D52" s="9">
        <v>4</v>
      </c>
      <c r="E52" t="s">
        <v>23</v>
      </c>
      <c r="G52">
        <v>1</v>
      </c>
    </row>
    <row r="54" spans="1:7" ht="18" customHeight="1" x14ac:dyDescent="0.2">
      <c r="A54" s="5" t="s">
        <v>116</v>
      </c>
      <c r="B54" s="8" t="b">
        <v>0</v>
      </c>
      <c r="D54" t="s">
        <v>61</v>
      </c>
    </row>
    <row r="55" spans="1:7" ht="15.75" customHeight="1" x14ac:dyDescent="0.2">
      <c r="A55" s="4" t="s">
        <v>26</v>
      </c>
      <c r="B55" s="25" t="s">
        <v>139</v>
      </c>
      <c r="F55" s="112"/>
      <c r="G55" s="8">
        <v>5</v>
      </c>
    </row>
    <row r="56" spans="1:7" ht="15.75" customHeight="1" x14ac:dyDescent="0.2">
      <c r="A56" s="4" t="s">
        <v>27</v>
      </c>
      <c r="B56" s="25"/>
      <c r="C56" t="s">
        <v>13</v>
      </c>
      <c r="D56" s="9">
        <v>4</v>
      </c>
      <c r="E56" t="s">
        <v>23</v>
      </c>
      <c r="G56">
        <v>1</v>
      </c>
    </row>
    <row r="58" spans="1:7" ht="18" customHeight="1" x14ac:dyDescent="0.2">
      <c r="A58" s="5" t="s">
        <v>117</v>
      </c>
      <c r="B58" s="8" t="b">
        <v>0</v>
      </c>
      <c r="D58" t="s">
        <v>61</v>
      </c>
    </row>
    <row r="59" spans="1:7" ht="15.75" customHeight="1" x14ac:dyDescent="0.2">
      <c r="A59" s="4" t="s">
        <v>26</v>
      </c>
      <c r="B59" s="25" t="s">
        <v>140</v>
      </c>
      <c r="F59" s="112"/>
      <c r="G59" s="8">
        <v>6</v>
      </c>
    </row>
    <row r="60" spans="1:7" ht="15.75" customHeight="1" x14ac:dyDescent="0.2">
      <c r="A60" s="4" t="s">
        <v>27</v>
      </c>
      <c r="B60" s="25"/>
      <c r="C60" t="s">
        <v>13</v>
      </c>
      <c r="D60" s="9">
        <v>4</v>
      </c>
      <c r="E60" t="s">
        <v>23</v>
      </c>
      <c r="G60">
        <v>1</v>
      </c>
    </row>
    <row r="62" spans="1:7" ht="18" customHeight="1" x14ac:dyDescent="0.2">
      <c r="A62" s="5" t="s">
        <v>118</v>
      </c>
      <c r="B62" s="8" t="b">
        <v>0</v>
      </c>
      <c r="D62" t="s">
        <v>61</v>
      </c>
    </row>
    <row r="63" spans="1:7" ht="15.75" customHeight="1" x14ac:dyDescent="0.2">
      <c r="A63" s="4" t="s">
        <v>26</v>
      </c>
      <c r="B63" s="25" t="s">
        <v>141</v>
      </c>
      <c r="F63" s="112"/>
      <c r="G63" s="8">
        <v>7</v>
      </c>
    </row>
    <row r="64" spans="1:7" ht="15.75" customHeight="1" x14ac:dyDescent="0.2">
      <c r="A64" s="4" t="s">
        <v>27</v>
      </c>
      <c r="B64" s="25"/>
      <c r="C64" t="s">
        <v>13</v>
      </c>
      <c r="D64" s="9">
        <v>4</v>
      </c>
      <c r="E64" t="s">
        <v>23</v>
      </c>
      <c r="G64">
        <v>1</v>
      </c>
    </row>
    <row r="66" spans="1:7" ht="18" customHeight="1" x14ac:dyDescent="0.2">
      <c r="A66" s="5" t="s">
        <v>119</v>
      </c>
      <c r="B66" s="8" t="b">
        <v>0</v>
      </c>
      <c r="D66" t="s">
        <v>61</v>
      </c>
    </row>
    <row r="67" spans="1:7" ht="15.75" customHeight="1" x14ac:dyDescent="0.2">
      <c r="A67" s="4" t="s">
        <v>26</v>
      </c>
      <c r="B67" s="25" t="s">
        <v>142</v>
      </c>
      <c r="F67" s="112"/>
      <c r="G67" s="8">
        <v>8</v>
      </c>
    </row>
    <row r="68" spans="1:7" ht="15.75" customHeight="1" x14ac:dyDescent="0.2">
      <c r="A68" s="4" t="s">
        <v>27</v>
      </c>
      <c r="B68" s="25"/>
      <c r="C68" t="s">
        <v>13</v>
      </c>
      <c r="D68" s="9">
        <v>4</v>
      </c>
      <c r="E68" t="s">
        <v>23</v>
      </c>
      <c r="G68">
        <v>1</v>
      </c>
    </row>
    <row r="70" spans="1:7" ht="18" customHeight="1" x14ac:dyDescent="0.2">
      <c r="A70" s="5" t="s">
        <v>120</v>
      </c>
      <c r="B70" s="8" t="b">
        <v>0</v>
      </c>
      <c r="D70" t="s">
        <v>61</v>
      </c>
    </row>
    <row r="71" spans="1:7" ht="15.75" customHeight="1" x14ac:dyDescent="0.2">
      <c r="A71" s="4" t="s">
        <v>26</v>
      </c>
      <c r="B71" s="25" t="s">
        <v>143</v>
      </c>
      <c r="F71" s="112"/>
      <c r="G71" s="8">
        <v>9</v>
      </c>
    </row>
    <row r="72" spans="1:7" ht="15.75" customHeight="1" x14ac:dyDescent="0.2">
      <c r="A72" s="4" t="s">
        <v>27</v>
      </c>
      <c r="B72" s="25"/>
      <c r="C72" t="s">
        <v>13</v>
      </c>
      <c r="D72" s="9">
        <v>4</v>
      </c>
      <c r="E72" t="s">
        <v>23</v>
      </c>
      <c r="G72">
        <v>1</v>
      </c>
    </row>
    <row r="74" spans="1:7" ht="18" customHeight="1" x14ac:dyDescent="0.2">
      <c r="A74" s="5" t="s">
        <v>121</v>
      </c>
      <c r="B74" s="8" t="b">
        <v>0</v>
      </c>
      <c r="D74" t="s">
        <v>61</v>
      </c>
    </row>
    <row r="75" spans="1:7" ht="15.75" customHeight="1" x14ac:dyDescent="0.2">
      <c r="A75" s="4" t="s">
        <v>26</v>
      </c>
      <c r="B75" s="25" t="s">
        <v>144</v>
      </c>
      <c r="F75" s="112"/>
      <c r="G75" s="8">
        <v>10</v>
      </c>
    </row>
    <row r="76" spans="1:7" ht="15.75" customHeight="1" x14ac:dyDescent="0.2">
      <c r="A76" s="4" t="s">
        <v>27</v>
      </c>
      <c r="B76" s="25"/>
      <c r="C76" t="s">
        <v>13</v>
      </c>
      <c r="D76" s="9">
        <v>4</v>
      </c>
      <c r="E76" t="s">
        <v>23</v>
      </c>
      <c r="G76">
        <v>1</v>
      </c>
    </row>
    <row r="78" spans="1:7" ht="18" customHeight="1" x14ac:dyDescent="0.2">
      <c r="A78" s="5" t="s">
        <v>122</v>
      </c>
      <c r="B78" s="8" t="b">
        <v>0</v>
      </c>
      <c r="D78" t="s">
        <v>61</v>
      </c>
    </row>
    <row r="79" spans="1:7" ht="15.75" customHeight="1" x14ac:dyDescent="0.2">
      <c r="A79" s="4" t="s">
        <v>26</v>
      </c>
      <c r="B79" s="25" t="s">
        <v>145</v>
      </c>
      <c r="F79" s="112"/>
      <c r="G79" s="8">
        <v>14</v>
      </c>
    </row>
    <row r="80" spans="1:7" ht="15.75" customHeight="1" x14ac:dyDescent="0.2">
      <c r="A80" s="4" t="s">
        <v>27</v>
      </c>
      <c r="B80" s="25"/>
      <c r="C80" t="s">
        <v>13</v>
      </c>
      <c r="D80" s="9">
        <v>4</v>
      </c>
      <c r="E80" t="s">
        <v>23</v>
      </c>
      <c r="G80">
        <v>1</v>
      </c>
    </row>
  </sheetData>
  <phoneticPr fontId="8" type="noConversion"/>
  <pageMargins left="0.41" right="0.75" top="0.2" bottom="0.49" header="0.16" footer="0.49"/>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9" r:id="rId4" name="HideFault1">
              <controlPr locked="0" defaultSize="0" print="0" autoFill="0" autoLine="0" autoPict="0" macro="[0]!HideFault_Change">
                <anchor moveWithCells="1">
                  <from>
                    <xdr:col>1</xdr:col>
                    <xdr:colOff>0</xdr:colOff>
                    <xdr:row>1</xdr:row>
                    <xdr:rowOff>9525</xdr:rowOff>
                  </from>
                  <to>
                    <xdr:col>2</xdr:col>
                    <xdr:colOff>0</xdr:colOff>
                    <xdr:row>2</xdr:row>
                    <xdr:rowOff>0</xdr:rowOff>
                  </to>
                </anchor>
              </controlPr>
            </control>
          </mc:Choice>
        </mc:AlternateContent>
        <mc:AlternateContent xmlns:mc="http://schemas.openxmlformats.org/markup-compatibility/2006">
          <mc:Choice Requires="x14">
            <control shapeId="7190" r:id="rId5" name="HideFault2">
              <controlPr locked="0" defaultSize="0" print="0" autoFill="0" autoLine="0" autoPict="0" macro="[0]!HideFault_Change">
                <anchor moveWithCells="1">
                  <from>
                    <xdr:col>1</xdr:col>
                    <xdr:colOff>0</xdr:colOff>
                    <xdr:row>5</xdr:row>
                    <xdr:rowOff>9525</xdr:rowOff>
                  </from>
                  <to>
                    <xdr:col>2</xdr:col>
                    <xdr:colOff>0</xdr:colOff>
                    <xdr:row>6</xdr:row>
                    <xdr:rowOff>0</xdr:rowOff>
                  </to>
                </anchor>
              </controlPr>
            </control>
          </mc:Choice>
        </mc:AlternateContent>
        <mc:AlternateContent xmlns:mc="http://schemas.openxmlformats.org/markup-compatibility/2006">
          <mc:Choice Requires="x14">
            <control shapeId="7191" r:id="rId6" name="HideFault3">
              <controlPr locked="0" defaultSize="0" print="0" autoFill="0" autoLine="0" autoPict="0" macro="[0]!HideFault_Change">
                <anchor moveWithCells="1">
                  <from>
                    <xdr:col>1</xdr:col>
                    <xdr:colOff>0</xdr:colOff>
                    <xdr:row>9</xdr:row>
                    <xdr:rowOff>9525</xdr:rowOff>
                  </from>
                  <to>
                    <xdr:col>2</xdr:col>
                    <xdr:colOff>0</xdr:colOff>
                    <xdr:row>10</xdr:row>
                    <xdr:rowOff>0</xdr:rowOff>
                  </to>
                </anchor>
              </controlPr>
            </control>
          </mc:Choice>
        </mc:AlternateContent>
        <mc:AlternateContent xmlns:mc="http://schemas.openxmlformats.org/markup-compatibility/2006">
          <mc:Choice Requires="x14">
            <control shapeId="7192" r:id="rId7" name="HideFault4">
              <controlPr locked="0" defaultSize="0" print="0" autoFill="0" autoLine="0" autoPict="0" macro="[0]!HideFault_Change">
                <anchor moveWithCells="1">
                  <from>
                    <xdr:col>1</xdr:col>
                    <xdr:colOff>0</xdr:colOff>
                    <xdr:row>13</xdr:row>
                    <xdr:rowOff>9525</xdr:rowOff>
                  </from>
                  <to>
                    <xdr:col>2</xdr:col>
                    <xdr:colOff>0</xdr:colOff>
                    <xdr:row>14</xdr:row>
                    <xdr:rowOff>0</xdr:rowOff>
                  </to>
                </anchor>
              </controlPr>
            </control>
          </mc:Choice>
        </mc:AlternateContent>
        <mc:AlternateContent xmlns:mc="http://schemas.openxmlformats.org/markup-compatibility/2006">
          <mc:Choice Requires="x14">
            <control shapeId="7193" r:id="rId8" name="HideFault5">
              <controlPr locked="0" defaultSize="0" print="0" autoFill="0" autoLine="0" autoPict="0" macro="[0]!HideFault_Change">
                <anchor moveWithCells="1">
                  <from>
                    <xdr:col>1</xdr:col>
                    <xdr:colOff>0</xdr:colOff>
                    <xdr:row>17</xdr:row>
                    <xdr:rowOff>9525</xdr:rowOff>
                  </from>
                  <to>
                    <xdr:col>2</xdr:col>
                    <xdr:colOff>0</xdr:colOff>
                    <xdr:row>18</xdr:row>
                    <xdr:rowOff>0</xdr:rowOff>
                  </to>
                </anchor>
              </controlPr>
            </control>
          </mc:Choice>
        </mc:AlternateContent>
        <mc:AlternateContent xmlns:mc="http://schemas.openxmlformats.org/markup-compatibility/2006">
          <mc:Choice Requires="x14">
            <control shapeId="7194" r:id="rId9" name="HideFault6">
              <controlPr locked="0" defaultSize="0" print="0" autoFill="0" autoLine="0" autoPict="0" macro="[0]!HideFault_Change">
                <anchor moveWithCells="1">
                  <from>
                    <xdr:col>1</xdr:col>
                    <xdr:colOff>0</xdr:colOff>
                    <xdr:row>21</xdr:row>
                    <xdr:rowOff>9525</xdr:rowOff>
                  </from>
                  <to>
                    <xdr:col>2</xdr:col>
                    <xdr:colOff>0</xdr:colOff>
                    <xdr:row>22</xdr:row>
                    <xdr:rowOff>0</xdr:rowOff>
                  </to>
                </anchor>
              </controlPr>
            </control>
          </mc:Choice>
        </mc:AlternateContent>
        <mc:AlternateContent xmlns:mc="http://schemas.openxmlformats.org/markup-compatibility/2006">
          <mc:Choice Requires="x14">
            <control shapeId="7195" r:id="rId10" name="HideFault7">
              <controlPr locked="0" defaultSize="0" print="0" autoFill="0" autoLine="0" autoPict="0" macro="[0]!HideFault_Change">
                <anchor moveWithCells="1">
                  <from>
                    <xdr:col>1</xdr:col>
                    <xdr:colOff>0</xdr:colOff>
                    <xdr:row>25</xdr:row>
                    <xdr:rowOff>9525</xdr:rowOff>
                  </from>
                  <to>
                    <xdr:col>2</xdr:col>
                    <xdr:colOff>0</xdr:colOff>
                    <xdr:row>26</xdr:row>
                    <xdr:rowOff>0</xdr:rowOff>
                  </to>
                </anchor>
              </controlPr>
            </control>
          </mc:Choice>
        </mc:AlternateContent>
        <mc:AlternateContent xmlns:mc="http://schemas.openxmlformats.org/markup-compatibility/2006">
          <mc:Choice Requires="x14">
            <control shapeId="7196" r:id="rId11" name="HideFault8">
              <controlPr locked="0" defaultSize="0" print="0" autoFill="0" autoLine="0" autoPict="0" macro="[0]!HideFault_Change">
                <anchor moveWithCells="1">
                  <from>
                    <xdr:col>1</xdr:col>
                    <xdr:colOff>0</xdr:colOff>
                    <xdr:row>29</xdr:row>
                    <xdr:rowOff>9525</xdr:rowOff>
                  </from>
                  <to>
                    <xdr:col>2</xdr:col>
                    <xdr:colOff>0</xdr:colOff>
                    <xdr:row>30</xdr:row>
                    <xdr:rowOff>0</xdr:rowOff>
                  </to>
                </anchor>
              </controlPr>
            </control>
          </mc:Choice>
        </mc:AlternateContent>
        <mc:AlternateContent xmlns:mc="http://schemas.openxmlformats.org/markup-compatibility/2006">
          <mc:Choice Requires="x14">
            <control shapeId="7197" r:id="rId12" name="HideFault9">
              <controlPr locked="0" defaultSize="0" print="0" autoFill="0" autoLine="0" autoPict="0" macro="[0]!HideFault_Change">
                <anchor moveWithCells="1">
                  <from>
                    <xdr:col>1</xdr:col>
                    <xdr:colOff>0</xdr:colOff>
                    <xdr:row>33</xdr:row>
                    <xdr:rowOff>9525</xdr:rowOff>
                  </from>
                  <to>
                    <xdr:col>2</xdr:col>
                    <xdr:colOff>0</xdr:colOff>
                    <xdr:row>34</xdr:row>
                    <xdr:rowOff>0</xdr:rowOff>
                  </to>
                </anchor>
              </controlPr>
            </control>
          </mc:Choice>
        </mc:AlternateContent>
        <mc:AlternateContent xmlns:mc="http://schemas.openxmlformats.org/markup-compatibility/2006">
          <mc:Choice Requires="x14">
            <control shapeId="7198" r:id="rId13" name="HideFault10">
              <controlPr locked="0" defaultSize="0" print="0" autoFill="0" autoLine="0" autoPict="0" macro="[0]!HideFault_Change">
                <anchor moveWithCells="1">
                  <from>
                    <xdr:col>1</xdr:col>
                    <xdr:colOff>0</xdr:colOff>
                    <xdr:row>37</xdr:row>
                    <xdr:rowOff>9525</xdr:rowOff>
                  </from>
                  <to>
                    <xdr:col>2</xdr:col>
                    <xdr:colOff>0</xdr:colOff>
                    <xdr:row>38</xdr:row>
                    <xdr:rowOff>0</xdr:rowOff>
                  </to>
                </anchor>
              </controlPr>
            </control>
          </mc:Choice>
        </mc:AlternateContent>
        <mc:AlternateContent xmlns:mc="http://schemas.openxmlformats.org/markup-compatibility/2006">
          <mc:Choice Requires="x14">
            <control shapeId="7199" r:id="rId14" name="HideFault11">
              <controlPr locked="0" defaultSize="0" print="0" autoFill="0" autoLine="0" autoPict="0" macro="[0]!HideFault_Change">
                <anchor moveWithCells="1">
                  <from>
                    <xdr:col>1</xdr:col>
                    <xdr:colOff>0</xdr:colOff>
                    <xdr:row>41</xdr:row>
                    <xdr:rowOff>9525</xdr:rowOff>
                  </from>
                  <to>
                    <xdr:col>2</xdr:col>
                    <xdr:colOff>0</xdr:colOff>
                    <xdr:row>42</xdr:row>
                    <xdr:rowOff>0</xdr:rowOff>
                  </to>
                </anchor>
              </controlPr>
            </control>
          </mc:Choice>
        </mc:AlternateContent>
        <mc:AlternateContent xmlns:mc="http://schemas.openxmlformats.org/markup-compatibility/2006">
          <mc:Choice Requires="x14">
            <control shapeId="7200" r:id="rId15" name="HideFault12">
              <controlPr locked="0" defaultSize="0" print="0" autoFill="0" autoLine="0" autoPict="0" macro="[0]!HideFault_Change">
                <anchor moveWithCells="1">
                  <from>
                    <xdr:col>1</xdr:col>
                    <xdr:colOff>0</xdr:colOff>
                    <xdr:row>45</xdr:row>
                    <xdr:rowOff>9525</xdr:rowOff>
                  </from>
                  <to>
                    <xdr:col>2</xdr:col>
                    <xdr:colOff>0</xdr:colOff>
                    <xdr:row>46</xdr:row>
                    <xdr:rowOff>0</xdr:rowOff>
                  </to>
                </anchor>
              </controlPr>
            </control>
          </mc:Choice>
        </mc:AlternateContent>
        <mc:AlternateContent xmlns:mc="http://schemas.openxmlformats.org/markup-compatibility/2006">
          <mc:Choice Requires="x14">
            <control shapeId="7201" r:id="rId16" name="HideFault13">
              <controlPr locked="0" defaultSize="0" print="0" autoFill="0" autoLine="0" autoPict="0" macro="[0]!HideFault_Change">
                <anchor moveWithCells="1">
                  <from>
                    <xdr:col>1</xdr:col>
                    <xdr:colOff>0</xdr:colOff>
                    <xdr:row>49</xdr:row>
                    <xdr:rowOff>9525</xdr:rowOff>
                  </from>
                  <to>
                    <xdr:col>2</xdr:col>
                    <xdr:colOff>0</xdr:colOff>
                    <xdr:row>50</xdr:row>
                    <xdr:rowOff>0</xdr:rowOff>
                  </to>
                </anchor>
              </controlPr>
            </control>
          </mc:Choice>
        </mc:AlternateContent>
        <mc:AlternateContent xmlns:mc="http://schemas.openxmlformats.org/markup-compatibility/2006">
          <mc:Choice Requires="x14">
            <control shapeId="7202" r:id="rId17" name="HideFault14">
              <controlPr locked="0" defaultSize="0" print="0" autoFill="0" autoLine="0" autoPict="0" macro="[0]!HideFault_Change">
                <anchor moveWithCells="1">
                  <from>
                    <xdr:col>1</xdr:col>
                    <xdr:colOff>0</xdr:colOff>
                    <xdr:row>53</xdr:row>
                    <xdr:rowOff>9525</xdr:rowOff>
                  </from>
                  <to>
                    <xdr:col>2</xdr:col>
                    <xdr:colOff>0</xdr:colOff>
                    <xdr:row>54</xdr:row>
                    <xdr:rowOff>0</xdr:rowOff>
                  </to>
                </anchor>
              </controlPr>
            </control>
          </mc:Choice>
        </mc:AlternateContent>
        <mc:AlternateContent xmlns:mc="http://schemas.openxmlformats.org/markup-compatibility/2006">
          <mc:Choice Requires="x14">
            <control shapeId="7203" r:id="rId18" name="HideFault15">
              <controlPr locked="0" defaultSize="0" print="0" autoFill="0" autoLine="0" autoPict="0" macro="[0]!HideFault_Change">
                <anchor moveWithCells="1">
                  <from>
                    <xdr:col>1</xdr:col>
                    <xdr:colOff>0</xdr:colOff>
                    <xdr:row>57</xdr:row>
                    <xdr:rowOff>9525</xdr:rowOff>
                  </from>
                  <to>
                    <xdr:col>2</xdr:col>
                    <xdr:colOff>0</xdr:colOff>
                    <xdr:row>58</xdr:row>
                    <xdr:rowOff>0</xdr:rowOff>
                  </to>
                </anchor>
              </controlPr>
            </control>
          </mc:Choice>
        </mc:AlternateContent>
        <mc:AlternateContent xmlns:mc="http://schemas.openxmlformats.org/markup-compatibility/2006">
          <mc:Choice Requires="x14">
            <control shapeId="7204" r:id="rId19" name="HideFault16">
              <controlPr locked="0" defaultSize="0" print="0" autoFill="0" autoLine="0" autoPict="0" macro="[0]!HideFault_Change">
                <anchor moveWithCells="1">
                  <from>
                    <xdr:col>1</xdr:col>
                    <xdr:colOff>0</xdr:colOff>
                    <xdr:row>61</xdr:row>
                    <xdr:rowOff>9525</xdr:rowOff>
                  </from>
                  <to>
                    <xdr:col>2</xdr:col>
                    <xdr:colOff>0</xdr:colOff>
                    <xdr:row>62</xdr:row>
                    <xdr:rowOff>0</xdr:rowOff>
                  </to>
                </anchor>
              </controlPr>
            </control>
          </mc:Choice>
        </mc:AlternateContent>
        <mc:AlternateContent xmlns:mc="http://schemas.openxmlformats.org/markup-compatibility/2006">
          <mc:Choice Requires="x14">
            <control shapeId="7205" r:id="rId20" name="HideFault17">
              <controlPr locked="0" defaultSize="0" print="0" autoFill="0" autoLine="0" autoPict="0" macro="[0]!HideFault_Change">
                <anchor moveWithCells="1">
                  <from>
                    <xdr:col>1</xdr:col>
                    <xdr:colOff>0</xdr:colOff>
                    <xdr:row>65</xdr:row>
                    <xdr:rowOff>9525</xdr:rowOff>
                  </from>
                  <to>
                    <xdr:col>2</xdr:col>
                    <xdr:colOff>0</xdr:colOff>
                    <xdr:row>66</xdr:row>
                    <xdr:rowOff>0</xdr:rowOff>
                  </to>
                </anchor>
              </controlPr>
            </control>
          </mc:Choice>
        </mc:AlternateContent>
        <mc:AlternateContent xmlns:mc="http://schemas.openxmlformats.org/markup-compatibility/2006">
          <mc:Choice Requires="x14">
            <control shapeId="7206" r:id="rId21" name="HideFault18">
              <controlPr locked="0" defaultSize="0" print="0" autoFill="0" autoLine="0" autoPict="0" macro="[0]!HideFault_Change">
                <anchor moveWithCells="1">
                  <from>
                    <xdr:col>1</xdr:col>
                    <xdr:colOff>0</xdr:colOff>
                    <xdr:row>69</xdr:row>
                    <xdr:rowOff>9525</xdr:rowOff>
                  </from>
                  <to>
                    <xdr:col>2</xdr:col>
                    <xdr:colOff>0</xdr:colOff>
                    <xdr:row>70</xdr:row>
                    <xdr:rowOff>0</xdr:rowOff>
                  </to>
                </anchor>
              </controlPr>
            </control>
          </mc:Choice>
        </mc:AlternateContent>
        <mc:AlternateContent xmlns:mc="http://schemas.openxmlformats.org/markup-compatibility/2006">
          <mc:Choice Requires="x14">
            <control shapeId="7207" r:id="rId22" name="HideFault19">
              <controlPr locked="0" defaultSize="0" print="0" autoFill="0" autoLine="0" autoPict="0" macro="[0]!HideFault_Change">
                <anchor moveWithCells="1">
                  <from>
                    <xdr:col>1</xdr:col>
                    <xdr:colOff>0</xdr:colOff>
                    <xdr:row>73</xdr:row>
                    <xdr:rowOff>9525</xdr:rowOff>
                  </from>
                  <to>
                    <xdr:col>2</xdr:col>
                    <xdr:colOff>0</xdr:colOff>
                    <xdr:row>74</xdr:row>
                    <xdr:rowOff>0</xdr:rowOff>
                  </to>
                </anchor>
              </controlPr>
            </control>
          </mc:Choice>
        </mc:AlternateContent>
        <mc:AlternateContent xmlns:mc="http://schemas.openxmlformats.org/markup-compatibility/2006">
          <mc:Choice Requires="x14">
            <control shapeId="7208" r:id="rId23" name="HideFault20">
              <controlPr locked="0" defaultSize="0" print="0" autoFill="0" autoLine="0" autoPict="0" macro="[0]!HideFault_Change">
                <anchor moveWithCells="1">
                  <from>
                    <xdr:col>1</xdr:col>
                    <xdr:colOff>0</xdr:colOff>
                    <xdr:row>77</xdr:row>
                    <xdr:rowOff>9525</xdr:rowOff>
                  </from>
                  <to>
                    <xdr:col>2</xdr:col>
                    <xdr:colOff>0</xdr:colOff>
                    <xdr:row>78</xdr:row>
                    <xdr:rowOff>0</xdr:rowOff>
                  </to>
                </anchor>
              </controlPr>
            </control>
          </mc:Choice>
        </mc:AlternateContent>
        <mc:AlternateContent xmlns:mc="http://schemas.openxmlformats.org/markup-compatibility/2006">
          <mc:Choice Requires="x14">
            <control shapeId="7211" r:id="rId24" name="Fault1">
              <controlPr defaultSize="0" autoLine="0" autoPict="0" macro="[0]!HideFault_Change">
                <anchor moveWithCells="1">
                  <from>
                    <xdr:col>5</xdr:col>
                    <xdr:colOff>590550</xdr:colOff>
                    <xdr:row>1</xdr:row>
                    <xdr:rowOff>38100</xdr:rowOff>
                  </from>
                  <to>
                    <xdr:col>6</xdr:col>
                    <xdr:colOff>590550</xdr:colOff>
                    <xdr:row>2</xdr:row>
                    <xdr:rowOff>9525</xdr:rowOff>
                  </to>
                </anchor>
              </controlPr>
            </control>
          </mc:Choice>
        </mc:AlternateContent>
        <mc:AlternateContent xmlns:mc="http://schemas.openxmlformats.org/markup-compatibility/2006">
          <mc:Choice Requires="x14">
            <control shapeId="7212" r:id="rId25" name="Fault2">
              <controlPr defaultSize="0" autoLine="0" autoPict="0" macro="[0]!HideFault_Change">
                <anchor moveWithCells="1">
                  <from>
                    <xdr:col>6</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7213" r:id="rId26" name="Drop Down 45">
              <controlPr defaultSize="0" autoLine="0" autoPict="0" macro="[0]!HideFault_Change">
                <anchor moveWithCells="1">
                  <from>
                    <xdr:col>6</xdr:col>
                    <xdr:colOff>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7214" r:id="rId27" name="Fault4">
              <controlPr defaultSize="0" autoLine="0" autoPict="0" macro="[0]!HideFault_Change">
                <anchor moveWithCells="1">
                  <from>
                    <xdr:col>6</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7215" r:id="rId28" name="Fault5">
              <controlPr defaultSize="0" autoLine="0" autoPict="0" macro="[0]!HideFault_Change">
                <anchor moveWithCells="1">
                  <from>
                    <xdr:col>6</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7216" r:id="rId29" name="Fault6">
              <controlPr defaultSize="0" autoLine="0" autoPict="0" macro="[0]!HideFault_Change">
                <anchor moveWithCells="1">
                  <from>
                    <xdr:col>6</xdr:col>
                    <xdr:colOff>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7217" r:id="rId30" name="Fault7">
              <controlPr defaultSize="0" autoLine="0" autoPict="0" macro="[0]!HideFault_Change">
                <anchor moveWithCells="1">
                  <from>
                    <xdr:col>6</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7218" r:id="rId31" name="Fault8">
              <controlPr defaultSize="0" autoLine="0" autoPict="0" macro="[0]!HideFault_Change">
                <anchor moveWithCells="1">
                  <from>
                    <xdr:col>6</xdr:col>
                    <xdr:colOff>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7219" r:id="rId32" name="Fault9">
              <controlPr defaultSize="0" autoLine="0" autoPict="0" macro="[0]!HideFault_Change">
                <anchor moveWithCells="1">
                  <from>
                    <xdr:col>6</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7220" r:id="rId33" name="Fault10">
              <controlPr defaultSize="0" autoLine="0" autoPict="0" macro="[0]!HideFault_Change">
                <anchor moveWithCells="1">
                  <from>
                    <xdr:col>6</xdr:col>
                    <xdr:colOff>0</xdr:colOff>
                    <xdr:row>38</xdr:row>
                    <xdr:rowOff>0</xdr:rowOff>
                  </from>
                  <to>
                    <xdr:col>7</xdr:col>
                    <xdr:colOff>0</xdr:colOff>
                    <xdr:row>39</xdr:row>
                    <xdr:rowOff>0</xdr:rowOff>
                  </to>
                </anchor>
              </controlPr>
            </control>
          </mc:Choice>
        </mc:AlternateContent>
        <mc:AlternateContent xmlns:mc="http://schemas.openxmlformats.org/markup-compatibility/2006">
          <mc:Choice Requires="x14">
            <control shapeId="7221" r:id="rId34" name="Fault11">
              <controlPr defaultSize="0" autoLine="0" autoPict="0" macro="[0]!HideFault_Change">
                <anchor moveWithCells="1">
                  <from>
                    <xdr:col>6</xdr:col>
                    <xdr:colOff>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7222" r:id="rId35" name="Fault12">
              <controlPr defaultSize="0" autoLine="0" autoPict="0" macro="[0]!HideFault_Change">
                <anchor moveWithCells="1">
                  <from>
                    <xdr:col>6</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7223" r:id="rId36" name="Fault13">
              <controlPr defaultSize="0" autoLine="0" autoPict="0" macro="[0]!HideFault_Change">
                <anchor moveWithCells="1">
                  <from>
                    <xdr:col>6</xdr:col>
                    <xdr:colOff>0</xdr:colOff>
                    <xdr:row>50</xdr:row>
                    <xdr:rowOff>0</xdr:rowOff>
                  </from>
                  <to>
                    <xdr:col>7</xdr:col>
                    <xdr:colOff>0</xdr:colOff>
                    <xdr:row>51</xdr:row>
                    <xdr:rowOff>0</xdr:rowOff>
                  </to>
                </anchor>
              </controlPr>
            </control>
          </mc:Choice>
        </mc:AlternateContent>
        <mc:AlternateContent xmlns:mc="http://schemas.openxmlformats.org/markup-compatibility/2006">
          <mc:Choice Requires="x14">
            <control shapeId="7224" r:id="rId37" name="Fault14">
              <controlPr defaultSize="0" autoLine="0" autoPict="0" macro="[0]!HideFault_Change">
                <anchor moveWithCells="1">
                  <from>
                    <xdr:col>6</xdr:col>
                    <xdr:colOff>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7225" r:id="rId38" name="Fault15">
              <controlPr defaultSize="0" autoLine="0" autoPict="0" macro="[0]!HideFault_Change">
                <anchor moveWithCells="1">
                  <from>
                    <xdr:col>6</xdr:col>
                    <xdr:colOff>0</xdr:colOff>
                    <xdr:row>58</xdr:row>
                    <xdr:rowOff>0</xdr:rowOff>
                  </from>
                  <to>
                    <xdr:col>7</xdr:col>
                    <xdr:colOff>0</xdr:colOff>
                    <xdr:row>59</xdr:row>
                    <xdr:rowOff>0</xdr:rowOff>
                  </to>
                </anchor>
              </controlPr>
            </control>
          </mc:Choice>
        </mc:AlternateContent>
        <mc:AlternateContent xmlns:mc="http://schemas.openxmlformats.org/markup-compatibility/2006">
          <mc:Choice Requires="x14">
            <control shapeId="7226" r:id="rId39" name="Fault16">
              <controlPr defaultSize="0" autoLine="0" autoPict="0" macro="[0]!HideFault_Change">
                <anchor moveWithCells="1">
                  <from>
                    <xdr:col>6</xdr:col>
                    <xdr:colOff>0</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7227" r:id="rId40" name="Fault17">
              <controlPr defaultSize="0" autoLine="0" autoPict="0" macro="[0]!HideFault_Change">
                <anchor moveWithCells="1">
                  <from>
                    <xdr:col>6</xdr:col>
                    <xdr:colOff>0</xdr:colOff>
                    <xdr:row>66</xdr:row>
                    <xdr:rowOff>0</xdr:rowOff>
                  </from>
                  <to>
                    <xdr:col>7</xdr:col>
                    <xdr:colOff>0</xdr:colOff>
                    <xdr:row>67</xdr:row>
                    <xdr:rowOff>0</xdr:rowOff>
                  </to>
                </anchor>
              </controlPr>
            </control>
          </mc:Choice>
        </mc:AlternateContent>
        <mc:AlternateContent xmlns:mc="http://schemas.openxmlformats.org/markup-compatibility/2006">
          <mc:Choice Requires="x14">
            <control shapeId="7228" r:id="rId41" name="Fault18">
              <controlPr defaultSize="0" autoLine="0" autoPict="0" macro="[0]!HideFault_Change">
                <anchor moveWithCells="1">
                  <from>
                    <xdr:col>6</xdr:col>
                    <xdr:colOff>0</xdr:colOff>
                    <xdr:row>70</xdr:row>
                    <xdr:rowOff>0</xdr:rowOff>
                  </from>
                  <to>
                    <xdr:col>7</xdr:col>
                    <xdr:colOff>0</xdr:colOff>
                    <xdr:row>71</xdr:row>
                    <xdr:rowOff>0</xdr:rowOff>
                  </to>
                </anchor>
              </controlPr>
            </control>
          </mc:Choice>
        </mc:AlternateContent>
        <mc:AlternateContent xmlns:mc="http://schemas.openxmlformats.org/markup-compatibility/2006">
          <mc:Choice Requires="x14">
            <control shapeId="7229" r:id="rId42" name="Fault19">
              <controlPr defaultSize="0" autoLine="0" autoPict="0" macro="[0]!HideFault_Change">
                <anchor moveWithCells="1">
                  <from>
                    <xdr:col>6</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7230" r:id="rId43" name="Fault20">
              <controlPr defaultSize="0" autoLine="0" autoPict="0" macro="[0]!HideFault_Change">
                <anchor moveWithCells="1">
                  <from>
                    <xdr:col>6</xdr:col>
                    <xdr:colOff>0</xdr:colOff>
                    <xdr:row>78</xdr:row>
                    <xdr:rowOff>0</xdr:rowOff>
                  </from>
                  <to>
                    <xdr:col>7</xdr:col>
                    <xdr:colOff>0</xdr:colOff>
                    <xdr:row>79</xdr:row>
                    <xdr:rowOff>0</xdr:rowOff>
                  </to>
                </anchor>
              </controlPr>
            </control>
          </mc:Choice>
        </mc:AlternateContent>
        <mc:AlternateContent xmlns:mc="http://schemas.openxmlformats.org/markup-compatibility/2006">
          <mc:Choice Requires="x14">
            <control shapeId="7235" r:id="rId44" name="Fault1">
              <controlPr defaultSize="0" autoLine="0" autoPict="0" macro="[0]!Track_Fault_Times">
                <anchor moveWithCells="1">
                  <from>
                    <xdr:col>6</xdr:col>
                    <xdr:colOff>19050</xdr:colOff>
                    <xdr:row>4</xdr:row>
                    <xdr:rowOff>9525</xdr:rowOff>
                  </from>
                  <to>
                    <xdr:col>7</xdr:col>
                    <xdr:colOff>19050</xdr:colOff>
                    <xdr:row>5</xdr:row>
                    <xdr:rowOff>9525</xdr:rowOff>
                  </to>
                </anchor>
              </controlPr>
            </control>
          </mc:Choice>
        </mc:AlternateContent>
        <mc:AlternateContent xmlns:mc="http://schemas.openxmlformats.org/markup-compatibility/2006">
          <mc:Choice Requires="x14">
            <control shapeId="7236" r:id="rId45" name="Fault1">
              <controlPr defaultSize="0" autoLine="0" autoPict="0" macro="[0]!Track_Fault_Times">
                <anchor mov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7237" r:id="rId46" name="Fault1">
              <controlPr defaultSize="0" autoLine="0" autoPict="0" macro="[0]!Track_Fault_Times">
                <anchor moveWithCells="1">
                  <from>
                    <xdr:col>6</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7238" r:id="rId47" name="Fault1">
              <controlPr defaultSize="0" autoLine="0" autoPict="0" macro="[0]!Track_Fault_Times">
                <anchor moveWithCells="1">
                  <from>
                    <xdr:col>6</xdr:col>
                    <xdr:colOff>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7240" r:id="rId48" name="Fault1">
              <controlPr defaultSize="0" autoLine="0" autoPict="0" macro="[0]!Track_Fault_Times">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7241" r:id="rId49" name="Fault1">
              <controlPr defaultSize="0" autoLine="0" autoPict="0" macro="[0]!Track_Fault_Times">
                <anchor mov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7242" r:id="rId50" name="Fault1">
              <controlPr defaultSize="0" autoLine="0" autoPict="0" macro="[0]!Track_Fault_Times">
                <anchor moveWithCells="1">
                  <from>
                    <xdr:col>6</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7243" r:id="rId51" name="Fault1">
              <controlPr defaultSize="0" autoLine="0" autoPict="0" macro="[0]!Track_Fault_Times">
                <anchor moveWithCells="1">
                  <from>
                    <xdr:col>6</xdr:col>
                    <xdr:colOff>0</xdr:colOff>
                    <xdr:row>31</xdr:row>
                    <xdr:rowOff>0</xdr:rowOff>
                  </from>
                  <to>
                    <xdr:col>7</xdr:col>
                    <xdr:colOff>0</xdr:colOff>
                    <xdr:row>32</xdr:row>
                    <xdr:rowOff>0</xdr:rowOff>
                  </to>
                </anchor>
              </controlPr>
            </control>
          </mc:Choice>
        </mc:AlternateContent>
        <mc:AlternateContent xmlns:mc="http://schemas.openxmlformats.org/markup-compatibility/2006">
          <mc:Choice Requires="x14">
            <control shapeId="7244" r:id="rId52" name="Fault1">
              <controlPr defaultSize="0" autoLine="0" autoPict="0" macro="[0]!Track_Fault_Times">
                <anchor moveWithCells="1">
                  <from>
                    <xdr:col>6</xdr:col>
                    <xdr:colOff>0</xdr:colOff>
                    <xdr:row>35</xdr:row>
                    <xdr:rowOff>0</xdr:rowOff>
                  </from>
                  <to>
                    <xdr:col>7</xdr:col>
                    <xdr:colOff>0</xdr:colOff>
                    <xdr:row>36</xdr:row>
                    <xdr:rowOff>0</xdr:rowOff>
                  </to>
                </anchor>
              </controlPr>
            </control>
          </mc:Choice>
        </mc:AlternateContent>
        <mc:AlternateContent xmlns:mc="http://schemas.openxmlformats.org/markup-compatibility/2006">
          <mc:Choice Requires="x14">
            <control shapeId="7245" r:id="rId53" name="Fault1">
              <controlPr defaultSize="0" autoLine="0" autoPict="0" macro="[0]!Track_Fault_Times">
                <anchor moveWithCells="1">
                  <from>
                    <xdr:col>6</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7246" r:id="rId54" name="Fault1">
              <controlPr defaultSize="0" autoLine="0" autoPict="0" macro="[0]!Track_Fault_Times">
                <anchor moveWithCells="1">
                  <from>
                    <xdr:col>6</xdr:col>
                    <xdr:colOff>0</xdr:colOff>
                    <xdr:row>43</xdr:row>
                    <xdr:rowOff>0</xdr:rowOff>
                  </from>
                  <to>
                    <xdr:col>7</xdr:col>
                    <xdr:colOff>0</xdr:colOff>
                    <xdr:row>44</xdr:row>
                    <xdr:rowOff>0</xdr:rowOff>
                  </to>
                </anchor>
              </controlPr>
            </control>
          </mc:Choice>
        </mc:AlternateContent>
        <mc:AlternateContent xmlns:mc="http://schemas.openxmlformats.org/markup-compatibility/2006">
          <mc:Choice Requires="x14">
            <control shapeId="7247" r:id="rId55" name="Fault1">
              <controlPr defaultSize="0" autoLine="0" autoPict="0" macro="[0]!Track_Fault_Times">
                <anchor moveWithCells="1">
                  <from>
                    <xdr:col>6</xdr:col>
                    <xdr:colOff>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7248" r:id="rId56" name="Fault1">
              <controlPr defaultSize="0" autoLine="0" autoPict="0" macro="[0]!Track_Fault_Times">
                <anchor moveWithCells="1">
                  <from>
                    <xdr:col>6</xdr:col>
                    <xdr:colOff>0</xdr:colOff>
                    <xdr:row>51</xdr:row>
                    <xdr:rowOff>0</xdr:rowOff>
                  </from>
                  <to>
                    <xdr:col>7</xdr:col>
                    <xdr:colOff>0</xdr:colOff>
                    <xdr:row>52</xdr:row>
                    <xdr:rowOff>0</xdr:rowOff>
                  </to>
                </anchor>
              </controlPr>
            </control>
          </mc:Choice>
        </mc:AlternateContent>
        <mc:AlternateContent xmlns:mc="http://schemas.openxmlformats.org/markup-compatibility/2006">
          <mc:Choice Requires="x14">
            <control shapeId="7249" r:id="rId57" name="Fault1">
              <controlPr defaultSize="0" autoLine="0" autoPict="0" macro="[0]!Track_Fault_Times">
                <anchor moveWithCells="1">
                  <from>
                    <xdr:col>6</xdr:col>
                    <xdr:colOff>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7250" r:id="rId58" name="Fault1">
              <controlPr defaultSize="0" autoLine="0" autoPict="0" macro="[0]!Track_Fault_Times">
                <anchor moveWithCells="1">
                  <from>
                    <xdr:col>6</xdr:col>
                    <xdr:colOff>0</xdr:colOff>
                    <xdr:row>59</xdr:row>
                    <xdr:rowOff>0</xdr:rowOff>
                  </from>
                  <to>
                    <xdr:col>7</xdr:col>
                    <xdr:colOff>0</xdr:colOff>
                    <xdr:row>60</xdr:row>
                    <xdr:rowOff>0</xdr:rowOff>
                  </to>
                </anchor>
              </controlPr>
            </control>
          </mc:Choice>
        </mc:AlternateContent>
        <mc:AlternateContent xmlns:mc="http://schemas.openxmlformats.org/markup-compatibility/2006">
          <mc:Choice Requires="x14">
            <control shapeId="7251" r:id="rId59" name="Fault1">
              <controlPr defaultSize="0" autoLine="0" autoPict="0" macro="[0]!Track_Fault_Times">
                <anchor moveWithCells="1">
                  <from>
                    <xdr:col>6</xdr:col>
                    <xdr:colOff>0</xdr:colOff>
                    <xdr:row>63</xdr:row>
                    <xdr:rowOff>0</xdr:rowOff>
                  </from>
                  <to>
                    <xdr:col>7</xdr:col>
                    <xdr:colOff>0</xdr:colOff>
                    <xdr:row>64</xdr:row>
                    <xdr:rowOff>0</xdr:rowOff>
                  </to>
                </anchor>
              </controlPr>
            </control>
          </mc:Choice>
        </mc:AlternateContent>
        <mc:AlternateContent xmlns:mc="http://schemas.openxmlformats.org/markup-compatibility/2006">
          <mc:Choice Requires="x14">
            <control shapeId="7252" r:id="rId60" name="Fault1">
              <controlPr defaultSize="0" autoLine="0" autoPict="0" macro="[0]!Track_Fault_Times">
                <anchor moveWithCells="1">
                  <from>
                    <xdr:col>6</xdr:col>
                    <xdr:colOff>0</xdr:colOff>
                    <xdr:row>67</xdr:row>
                    <xdr:rowOff>0</xdr:rowOff>
                  </from>
                  <to>
                    <xdr:col>7</xdr:col>
                    <xdr:colOff>0</xdr:colOff>
                    <xdr:row>68</xdr:row>
                    <xdr:rowOff>0</xdr:rowOff>
                  </to>
                </anchor>
              </controlPr>
            </control>
          </mc:Choice>
        </mc:AlternateContent>
        <mc:AlternateContent xmlns:mc="http://schemas.openxmlformats.org/markup-compatibility/2006">
          <mc:Choice Requires="x14">
            <control shapeId="7253" r:id="rId61" name="Fault1">
              <controlPr defaultSize="0" autoLine="0" autoPict="0" macro="[0]!Track_Fault_Times">
                <anchor moveWithCells="1">
                  <from>
                    <xdr:col>6</xdr:col>
                    <xdr:colOff>0</xdr:colOff>
                    <xdr:row>71</xdr:row>
                    <xdr:rowOff>0</xdr:rowOff>
                  </from>
                  <to>
                    <xdr:col>7</xdr:col>
                    <xdr:colOff>0</xdr:colOff>
                    <xdr:row>72</xdr:row>
                    <xdr:rowOff>0</xdr:rowOff>
                  </to>
                </anchor>
              </controlPr>
            </control>
          </mc:Choice>
        </mc:AlternateContent>
        <mc:AlternateContent xmlns:mc="http://schemas.openxmlformats.org/markup-compatibility/2006">
          <mc:Choice Requires="x14">
            <control shapeId="7254" r:id="rId62" name="Fault1">
              <controlPr defaultSize="0" autoLine="0" autoPict="0" macro="[0]!Track_Fault_Times">
                <anchor moveWithCells="1">
                  <from>
                    <xdr:col>6</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7255" r:id="rId63" name="Fault1">
              <controlPr defaultSize="0" autoLine="0" autoPict="0" macro="[0]!Track_Fault_Times">
                <anchor moveWithCells="1">
                  <from>
                    <xdr:col>6</xdr:col>
                    <xdr:colOff>0</xdr:colOff>
                    <xdr:row>79</xdr:row>
                    <xdr:rowOff>0</xdr:rowOff>
                  </from>
                  <to>
                    <xdr:col>7</xdr:col>
                    <xdr:colOff>0</xdr:colOff>
                    <xdr:row>80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K152"/>
  <sheetViews>
    <sheetView workbookViewId="0">
      <selection activeCell="M40" sqref="M40"/>
    </sheetView>
  </sheetViews>
  <sheetFormatPr defaultRowHeight="15.75" customHeight="1" x14ac:dyDescent="0.2"/>
  <cols>
    <col min="1" max="1" width="22.85546875" bestFit="1" customWidth="1"/>
    <col min="2" max="2" width="12.85546875" customWidth="1"/>
    <col min="3" max="3" width="3.85546875" customWidth="1"/>
    <col min="4" max="4" width="2.7109375" style="1" customWidth="1"/>
    <col min="5" max="5" width="1.42578125" customWidth="1"/>
    <col min="6" max="9" width="16" customWidth="1"/>
    <col min="10" max="10" width="11.5703125" customWidth="1"/>
    <col min="11" max="11" width="4" customWidth="1"/>
  </cols>
  <sheetData>
    <row r="1" spans="1:11" ht="15.75" customHeight="1" x14ac:dyDescent="0.25">
      <c r="A1" s="6" t="str">
        <f>'Relay 1'!A1</f>
        <v>Substation/Feeder :</v>
      </c>
      <c r="B1" s="6" t="str">
        <f>IF('Relay 1'!B1&lt;&gt;0,'Relay 1'!B1,"")</f>
        <v/>
      </c>
      <c r="I1" s="17" t="str">
        <f>'Relay 1'!K1</f>
        <v>Reference Voltage :</v>
      </c>
      <c r="J1" s="2">
        <f>'Relay 1'!L1</f>
        <v>11</v>
      </c>
      <c r="K1" s="2" t="str">
        <f>'Relay 1'!M1</f>
        <v>kV</v>
      </c>
    </row>
    <row r="2" spans="1:11" ht="15.75" customHeight="1" x14ac:dyDescent="0.2">
      <c r="A2" s="52" t="str">
        <f>'Relay 1'!A3</f>
        <v>Relay 1</v>
      </c>
    </row>
    <row r="3" spans="1:11" ht="15.75" customHeight="1" x14ac:dyDescent="0.2">
      <c r="A3" s="7" t="str">
        <f>'Relay 1'!A4</f>
        <v>Relay Type</v>
      </c>
      <c r="B3" s="10">
        <f>'Relay 1'!B4</f>
        <v>1</v>
      </c>
      <c r="F3" s="100" t="str">
        <f>'Relay 1'!$I$5</f>
        <v>Grading Times</v>
      </c>
      <c r="G3" s="100"/>
      <c r="H3" s="100"/>
      <c r="I3" s="100"/>
      <c r="J3" s="100"/>
      <c r="K3" s="100"/>
    </row>
    <row r="4" spans="1:11" ht="15.75" customHeight="1" x14ac:dyDescent="0.2">
      <c r="A4" s="7" t="str">
        <f>'Relay 1'!A5</f>
        <v>Operating Designation</v>
      </c>
      <c r="B4" s="53" t="str">
        <f>'Relay 1'!B5</f>
        <v>Relay 1</v>
      </c>
      <c r="F4" s="19"/>
      <c r="G4" s="19"/>
      <c r="H4" s="19"/>
      <c r="I4" s="19"/>
      <c r="J4" s="19"/>
      <c r="K4" s="19"/>
    </row>
    <row r="5" spans="1:11" ht="15.75" customHeight="1" x14ac:dyDescent="0.2">
      <c r="A5" s="7" t="str">
        <f>'Relay 1'!A6</f>
        <v>Operating Voltage</v>
      </c>
      <c r="B5" s="10">
        <f>'Relay 1'!B6</f>
        <v>11</v>
      </c>
      <c r="C5" t="str">
        <f>'Relay 1'!C6</f>
        <v>kV</v>
      </c>
      <c r="F5" s="16" t="str">
        <f>'Relay 1'!$I$6</f>
        <v>Fault 1</v>
      </c>
      <c r="G5" s="74" t="str">
        <f>'Relay 1'!$J$6</f>
        <v>Relay 1</v>
      </c>
      <c r="H5" s="74" t="str">
        <f>'Relay 1'!$K$6</f>
        <v>Fault 2</v>
      </c>
      <c r="I5" s="29">
        <f>'Relay 1'!$L$6</f>
        <v>1</v>
      </c>
      <c r="J5" s="16" t="s">
        <v>146</v>
      </c>
      <c r="K5" s="16"/>
    </row>
    <row r="6" spans="1:11" ht="15.75" customHeight="1" x14ac:dyDescent="0.2">
      <c r="A6" s="7" t="str">
        <f>'Relay 1'!A7</f>
        <v>CT Ratio</v>
      </c>
      <c r="B6" s="10">
        <f>'Relay 1'!B7</f>
        <v>400</v>
      </c>
      <c r="C6" s="1" t="str">
        <f>'Relay 1'!C7</f>
        <v>to</v>
      </c>
      <c r="D6" s="32">
        <f>'Relay 1'!D7</f>
        <v>5</v>
      </c>
      <c r="E6" s="1"/>
      <c r="F6" s="29">
        <f>'Relay 1'!$I$7</f>
        <v>1</v>
      </c>
      <c r="G6" s="28">
        <f>'Relay 1'!$J$7</f>
        <v>0</v>
      </c>
      <c r="H6" s="28"/>
      <c r="I6" s="28">
        <f>'Relay 1'!$L$7</f>
        <v>0</v>
      </c>
      <c r="J6" s="28">
        <f>'Relay 1'!N7</f>
        <v>0</v>
      </c>
      <c r="K6" s="7" t="s">
        <v>23</v>
      </c>
    </row>
    <row r="7" spans="1:11" ht="15.75" customHeight="1" x14ac:dyDescent="0.2">
      <c r="A7" s="7" t="str">
        <f>'Relay 1'!A8</f>
        <v>Primary Current Setting</v>
      </c>
      <c r="B7" s="31">
        <f>'Relay 1'!B8</f>
        <v>200</v>
      </c>
      <c r="C7" t="str">
        <f>'Relay 1'!C8</f>
        <v>A</v>
      </c>
      <c r="F7" s="10">
        <f>'Relay 1'!$I$8</f>
        <v>1</v>
      </c>
      <c r="G7" s="28">
        <f>'Relay 1'!$J$8</f>
        <v>0</v>
      </c>
      <c r="H7" s="28"/>
      <c r="I7" s="28">
        <f>'Relay 1'!L8</f>
        <v>0</v>
      </c>
      <c r="J7" s="28">
        <f>'Relay 1'!N8</f>
        <v>0</v>
      </c>
      <c r="K7" s="7" t="s">
        <v>23</v>
      </c>
    </row>
    <row r="8" spans="1:11" ht="15.75" customHeight="1" x14ac:dyDescent="0.2">
      <c r="A8" s="7" t="str">
        <f>'Relay 1'!A9</f>
        <v>Secondary Current Setting</v>
      </c>
      <c r="B8" s="12">
        <f>'Relay 1'!B9</f>
        <v>2.5</v>
      </c>
      <c r="C8" t="str">
        <f>'Relay 1'!C9</f>
        <v>A</v>
      </c>
      <c r="F8" s="10">
        <f>'Relay 1'!$I$9</f>
        <v>1</v>
      </c>
      <c r="G8" s="28">
        <f>'Relay 1'!$J$9</f>
        <v>0</v>
      </c>
      <c r="H8" s="28"/>
      <c r="I8" s="28">
        <f>'Relay 1'!$L$9</f>
        <v>0</v>
      </c>
      <c r="J8" s="28">
        <f>'Relay 1'!N9</f>
        <v>0</v>
      </c>
      <c r="K8" s="7" t="s">
        <v>23</v>
      </c>
    </row>
    <row r="9" spans="1:11" ht="15.75" customHeight="1" thickBot="1" x14ac:dyDescent="0.25">
      <c r="A9" s="7" t="str">
        <f>'Relay 1'!A10</f>
        <v>Time Multiplier (Lever)</v>
      </c>
      <c r="B9" s="10">
        <f>IF('Relay 1'!B10&lt;&gt;"",'Relay 1'!B10,"")</f>
        <v>0.1</v>
      </c>
      <c r="F9" s="54"/>
      <c r="G9" s="54"/>
      <c r="H9" s="54"/>
      <c r="I9" s="54"/>
    </row>
    <row r="10" spans="1:11" ht="15.75" customHeight="1" thickBot="1" x14ac:dyDescent="0.25">
      <c r="A10" s="7" t="str">
        <f>'Relay 1'!A11</f>
        <v>Curve Type</v>
      </c>
      <c r="B10" s="10">
        <f>'Relay 1'!B11</f>
        <v>1</v>
      </c>
      <c r="G10" s="55" t="str">
        <f>'Relay 1'!$A$23</f>
        <v>Setting Status</v>
      </c>
      <c r="H10" s="84"/>
      <c r="I10" s="56">
        <f>'Relay 1'!$B$23</f>
        <v>1</v>
      </c>
    </row>
    <row r="11" spans="1:11" ht="9" hidden="1" customHeight="1" x14ac:dyDescent="0.2"/>
    <row r="12" spans="1:11" ht="15.75" customHeight="1" x14ac:dyDescent="0.2">
      <c r="A12" s="7" t="str">
        <f>'Relay 1'!A13</f>
        <v>Instantaneous Current</v>
      </c>
      <c r="B12" s="31">
        <f>'Relay 1'!B13</f>
        <v>0</v>
      </c>
      <c r="C12" t="str">
        <f>'Relay 1'!C13</f>
        <v>A</v>
      </c>
    </row>
    <row r="13" spans="1:11" ht="14.25" customHeight="1" x14ac:dyDescent="0.2">
      <c r="A13" s="7" t="str">
        <f>'Relay 1'!A14</f>
        <v>Min Operating Time (s)</v>
      </c>
      <c r="B13" s="31">
        <f>'Relay 1'!B14</f>
        <v>0</v>
      </c>
      <c r="C13" t="str">
        <f>'Relay 1'!C14</f>
        <v>s</v>
      </c>
    </row>
    <row r="14" spans="1:11" ht="15.75" hidden="1" customHeight="1" x14ac:dyDescent="0.2"/>
    <row r="15" spans="1:11" ht="15.75" customHeight="1" x14ac:dyDescent="0.2">
      <c r="A15" s="7" t="str">
        <f>'Relay 1'!A16</f>
        <v>Definite Time Setting</v>
      </c>
      <c r="B15" s="31">
        <f>'Relay 1'!B16</f>
        <v>0</v>
      </c>
      <c r="C15" t="str">
        <f>'Relay 1'!C16</f>
        <v>s</v>
      </c>
    </row>
    <row r="16" spans="1:11" ht="8.25" customHeight="1" thickBot="1" x14ac:dyDescent="0.25">
      <c r="A16" s="57"/>
      <c r="B16" s="57"/>
      <c r="C16" s="57"/>
      <c r="D16" s="58"/>
      <c r="E16" s="57"/>
      <c r="F16" s="57"/>
      <c r="G16" s="57"/>
      <c r="H16" s="57"/>
      <c r="I16" s="57"/>
      <c r="J16" s="57"/>
      <c r="K16" s="57"/>
    </row>
    <row r="17" spans="1:11" ht="15.75" customHeight="1" x14ac:dyDescent="0.2">
      <c r="A17" s="52" t="str">
        <f>'Relay 2'!A3</f>
        <v>Relay 2</v>
      </c>
    </row>
    <row r="18" spans="1:11" ht="15.75" customHeight="1" x14ac:dyDescent="0.2">
      <c r="A18" s="7" t="str">
        <f>'Relay 2'!A4</f>
        <v>Relay Type</v>
      </c>
      <c r="B18" s="10">
        <f>'Relay 2'!B4</f>
        <v>1</v>
      </c>
      <c r="F18" s="100" t="str">
        <f>'Relay 1'!$I$5</f>
        <v>Grading Times</v>
      </c>
      <c r="G18" s="100"/>
      <c r="H18" s="100"/>
      <c r="I18" s="100"/>
      <c r="J18" s="100"/>
      <c r="K18" s="100"/>
    </row>
    <row r="19" spans="1:11" ht="15.75" customHeight="1" x14ac:dyDescent="0.2">
      <c r="A19" s="7" t="str">
        <f>'Relay 2'!A5</f>
        <v>Operating Designation</v>
      </c>
      <c r="B19" s="53" t="str">
        <f>'Relay 2'!B5</f>
        <v>Relay 2</v>
      </c>
      <c r="F19" s="19"/>
      <c r="G19" s="19"/>
      <c r="H19" s="19"/>
      <c r="I19" s="19"/>
      <c r="J19" s="19"/>
      <c r="K19" s="19"/>
    </row>
    <row r="20" spans="1:11" ht="15.75" customHeight="1" x14ac:dyDescent="0.2">
      <c r="A20" s="7" t="str">
        <f>'Relay 2'!A6</f>
        <v>Operating Voltage</v>
      </c>
      <c r="B20" s="10">
        <f>'Relay 2'!B6</f>
        <v>11</v>
      </c>
      <c r="C20" t="str">
        <f>'Relay 2'!C6</f>
        <v>kV</v>
      </c>
      <c r="F20" s="16" t="s">
        <v>25</v>
      </c>
      <c r="G20" s="74" t="str">
        <f>'Relay 2'!$J$6</f>
        <v>Relay 2</v>
      </c>
      <c r="H20" s="74" t="s">
        <v>28</v>
      </c>
      <c r="I20" s="29">
        <f>'Relay 2'!$L$6</f>
        <v>2</v>
      </c>
      <c r="J20" s="16" t="s">
        <v>146</v>
      </c>
      <c r="K20" s="16"/>
    </row>
    <row r="21" spans="1:11" ht="15.75" customHeight="1" x14ac:dyDescent="0.2">
      <c r="A21" s="7" t="str">
        <f>'Relay 2'!A7</f>
        <v>CT Ratio</v>
      </c>
      <c r="B21" s="10">
        <f>'Relay 2'!B7</f>
        <v>400</v>
      </c>
      <c r="C21" s="1" t="str">
        <f>'Relay 2'!C7</f>
        <v>to</v>
      </c>
      <c r="D21" s="32">
        <f>'Relay 2'!D7</f>
        <v>5</v>
      </c>
      <c r="E21" s="1"/>
      <c r="F21" s="29">
        <f>'Relay 2'!$I$7</f>
        <v>6</v>
      </c>
      <c r="G21" s="28">
        <f>'Relay 2'!$J$7</f>
        <v>0</v>
      </c>
      <c r="H21" s="28"/>
      <c r="I21" s="28">
        <f>'Relay 2'!$L$7</f>
        <v>0</v>
      </c>
      <c r="J21" s="28">
        <f>'Relay 2'!$N$7</f>
        <v>0</v>
      </c>
      <c r="K21" s="7" t="s">
        <v>23</v>
      </c>
    </row>
    <row r="22" spans="1:11" ht="15.75" customHeight="1" x14ac:dyDescent="0.2">
      <c r="A22" s="7" t="str">
        <f>'Relay 2'!A8</f>
        <v>Primary Current Setting</v>
      </c>
      <c r="B22" s="31">
        <f>'Relay 2'!B8</f>
        <v>300</v>
      </c>
      <c r="C22" t="str">
        <f>'Relay 2'!C8</f>
        <v>A</v>
      </c>
      <c r="F22" s="10">
        <f>'Relay 2'!$I$8</f>
        <v>1</v>
      </c>
      <c r="G22" s="28">
        <f>'Relay 2'!$J$8</f>
        <v>0</v>
      </c>
      <c r="H22" s="28"/>
      <c r="I22" s="28">
        <f>'Relay 2'!$L$8</f>
        <v>0</v>
      </c>
      <c r="J22" s="28">
        <f>'Relay 2'!$N$7</f>
        <v>0</v>
      </c>
      <c r="K22" s="7" t="s">
        <v>23</v>
      </c>
    </row>
    <row r="23" spans="1:11" ht="15.75" customHeight="1" x14ac:dyDescent="0.2">
      <c r="A23" s="7" t="str">
        <f>'Relay 2'!A9</f>
        <v>Secondary Current Setting</v>
      </c>
      <c r="B23" s="12">
        <f>'Relay 2'!B9</f>
        <v>3.75</v>
      </c>
      <c r="C23" t="str">
        <f>'Relay 2'!C9</f>
        <v>A</v>
      </c>
      <c r="F23" s="10">
        <f>'Relay 2'!$I$9</f>
        <v>1</v>
      </c>
      <c r="G23" s="28">
        <f>'Relay 2'!$J$9</f>
        <v>0</v>
      </c>
      <c r="H23" s="28"/>
      <c r="I23" s="28">
        <f>'Relay 2'!$L$9</f>
        <v>0</v>
      </c>
      <c r="J23" s="28">
        <f>'Relay 2'!$N$7</f>
        <v>0</v>
      </c>
      <c r="K23" s="7" t="s">
        <v>23</v>
      </c>
    </row>
    <row r="24" spans="1:11" ht="15.75" customHeight="1" thickBot="1" x14ac:dyDescent="0.25">
      <c r="A24" s="7" t="str">
        <f>'Relay 2'!A10</f>
        <v>Time Multiplier (Lever)</v>
      </c>
      <c r="B24" s="31">
        <f>'Relay 2'!B10</f>
        <v>0.15</v>
      </c>
      <c r="F24" s="54"/>
      <c r="G24" s="54"/>
      <c r="H24" s="54"/>
      <c r="I24" s="54"/>
    </row>
    <row r="25" spans="1:11" ht="15.75" customHeight="1" thickBot="1" x14ac:dyDescent="0.25">
      <c r="A25" s="7" t="str">
        <f>'Relay 2'!A11</f>
        <v>Curve Type</v>
      </c>
      <c r="B25" s="10">
        <f>'Relay 2'!B11</f>
        <v>1</v>
      </c>
      <c r="G25" s="55" t="str">
        <f>'Relay 2'!$A$23</f>
        <v>Setting Status</v>
      </c>
      <c r="H25" s="84"/>
      <c r="I25" s="56">
        <f>'Relay 2'!$B$23</f>
        <v>1</v>
      </c>
    </row>
    <row r="26" spans="1:11" ht="15.75" hidden="1" customHeight="1" x14ac:dyDescent="0.2"/>
    <row r="27" spans="1:11" ht="15.75" customHeight="1" x14ac:dyDescent="0.2">
      <c r="A27" s="7" t="str">
        <f>'Relay 2'!A13</f>
        <v>Instantaneous Current</v>
      </c>
      <c r="B27" s="31">
        <f>'Relay 2'!B13</f>
        <v>1950</v>
      </c>
      <c r="C27" t="str">
        <f>'Relay 2'!C13</f>
        <v>A</v>
      </c>
    </row>
    <row r="28" spans="1:11" ht="15.75" customHeight="1" x14ac:dyDescent="0.2">
      <c r="A28" s="7" t="str">
        <f>'Relay 2'!A14</f>
        <v>Min Operating Time (s)</v>
      </c>
      <c r="B28" s="31">
        <f>'Relay 2'!B14</f>
        <v>0.7</v>
      </c>
      <c r="C28" t="str">
        <f>'Relay 2'!C14</f>
        <v>s</v>
      </c>
    </row>
    <row r="29" spans="1:11" ht="15.75" hidden="1" customHeight="1" x14ac:dyDescent="0.2"/>
    <row r="30" spans="1:11" ht="15.75" customHeight="1" x14ac:dyDescent="0.2">
      <c r="A30" s="7" t="str">
        <f>'Relay 2'!A16</f>
        <v>Definite Time Setting</v>
      </c>
      <c r="B30" s="31">
        <f>'Relay 2'!B16</f>
        <v>0</v>
      </c>
      <c r="C30" t="str">
        <f>'Relay 2'!C16</f>
        <v>s</v>
      </c>
    </row>
    <row r="31" spans="1:11" ht="8.25" customHeight="1" thickBot="1" x14ac:dyDescent="0.25">
      <c r="A31" s="57"/>
      <c r="B31" s="57"/>
      <c r="C31" s="57"/>
      <c r="D31" s="58"/>
      <c r="E31" s="57"/>
      <c r="F31" s="57"/>
      <c r="G31" s="57"/>
      <c r="H31" s="57"/>
      <c r="I31" s="57"/>
      <c r="J31" s="57"/>
      <c r="K31" s="57"/>
    </row>
    <row r="32" spans="1:11" ht="15.75" customHeight="1" x14ac:dyDescent="0.2">
      <c r="A32" s="52" t="str">
        <f>'Relay 3'!A3</f>
        <v>Relay 3</v>
      </c>
    </row>
    <row r="33" spans="1:11" ht="15.75" customHeight="1" x14ac:dyDescent="0.2">
      <c r="A33" s="7" t="str">
        <f>'Relay 3'!A4</f>
        <v>Relay Type</v>
      </c>
      <c r="B33" s="10">
        <f>'Relay 3'!B4</f>
        <v>1</v>
      </c>
      <c r="F33" s="100" t="str">
        <f>'Relay 1'!$I$5</f>
        <v>Grading Times</v>
      </c>
      <c r="G33" s="100"/>
      <c r="H33" s="100"/>
      <c r="I33" s="100"/>
      <c r="J33" s="100"/>
      <c r="K33" s="100"/>
    </row>
    <row r="34" spans="1:11" ht="15.75" customHeight="1" x14ac:dyDescent="0.2">
      <c r="A34" s="7" t="str">
        <f>'Relay 3'!A5</f>
        <v>Operating Designation</v>
      </c>
      <c r="B34" s="53" t="str">
        <f>'Relay 3'!B5</f>
        <v>Relay 3</v>
      </c>
      <c r="F34" s="19"/>
      <c r="G34" s="19"/>
      <c r="H34" s="19"/>
      <c r="I34" s="19"/>
      <c r="J34" s="19"/>
      <c r="K34" s="19"/>
    </row>
    <row r="35" spans="1:11" ht="15.75" customHeight="1" x14ac:dyDescent="0.2">
      <c r="A35" s="7" t="str">
        <f>'Relay 3'!A6</f>
        <v>Operating Voltage</v>
      </c>
      <c r="B35" s="10">
        <f>'Relay 3'!B6</f>
        <v>11</v>
      </c>
      <c r="C35" t="str">
        <f>'Relay 3'!C6</f>
        <v>kV</v>
      </c>
      <c r="F35" s="16" t="s">
        <v>25</v>
      </c>
      <c r="G35" s="74" t="str">
        <f>'Relay 3'!$J$6</f>
        <v>Relay 3</v>
      </c>
      <c r="H35" s="74" t="s">
        <v>28</v>
      </c>
      <c r="I35" s="29">
        <f>'Relay 3'!L6</f>
        <v>1</v>
      </c>
      <c r="J35" s="16" t="s">
        <v>146</v>
      </c>
      <c r="K35" s="16"/>
    </row>
    <row r="36" spans="1:11" ht="15.75" customHeight="1" x14ac:dyDescent="0.2">
      <c r="A36" s="7" t="str">
        <f>'Relay 3'!A7</f>
        <v>CT Ratio</v>
      </c>
      <c r="B36" s="10">
        <f>'Relay 3'!B7</f>
        <v>400</v>
      </c>
      <c r="C36" s="1" t="str">
        <f>'Relay 3'!C7</f>
        <v>to</v>
      </c>
      <c r="D36" s="32">
        <f>'Relay 3'!D7</f>
        <v>5</v>
      </c>
      <c r="E36" s="1"/>
      <c r="F36" s="29">
        <f>'Relay 3'!$I$7</f>
        <v>1</v>
      </c>
      <c r="G36" s="28">
        <f>'Relay 3'!$J$7</f>
        <v>0</v>
      </c>
      <c r="H36" s="28"/>
      <c r="I36" s="28">
        <f>'Relay 3'!L7</f>
        <v>0</v>
      </c>
      <c r="J36" s="28">
        <f>'Relay 3'!N7</f>
        <v>0</v>
      </c>
      <c r="K36" s="7" t="s">
        <v>23</v>
      </c>
    </row>
    <row r="37" spans="1:11" ht="15.75" customHeight="1" x14ac:dyDescent="0.2">
      <c r="A37" s="7" t="str">
        <f>'Relay 3'!A8</f>
        <v>Primary Current Setting</v>
      </c>
      <c r="B37" s="31">
        <f>'Relay 3'!B8</f>
        <v>200</v>
      </c>
      <c r="C37" t="str">
        <f>'Relay 3'!C8</f>
        <v>A</v>
      </c>
      <c r="F37" s="10">
        <f>'Relay 3'!$I$8</f>
        <v>1</v>
      </c>
      <c r="G37" s="28">
        <f>'Relay 3'!$J$8</f>
        <v>0</v>
      </c>
      <c r="H37" s="28"/>
      <c r="I37" s="28">
        <f>'Relay 3'!L8</f>
        <v>0</v>
      </c>
      <c r="J37" s="28">
        <f>'Relay 3'!N8</f>
        <v>0</v>
      </c>
      <c r="K37" s="7" t="s">
        <v>23</v>
      </c>
    </row>
    <row r="38" spans="1:11" ht="15.75" customHeight="1" x14ac:dyDescent="0.2">
      <c r="A38" s="7" t="str">
        <f>'Relay 3'!A9</f>
        <v>Secondary Current Setting</v>
      </c>
      <c r="B38" s="12">
        <f>'Relay 3'!B9</f>
        <v>2.5</v>
      </c>
      <c r="C38" t="str">
        <f>'Relay 3'!C9</f>
        <v>A</v>
      </c>
      <c r="F38" s="10">
        <f>'Relay 3'!$I$9</f>
        <v>1</v>
      </c>
      <c r="G38" s="28">
        <f>'Relay 3'!$J$9</f>
        <v>0</v>
      </c>
      <c r="H38" s="28"/>
      <c r="I38" s="28">
        <f>'Relay 3'!L9</f>
        <v>0</v>
      </c>
      <c r="J38" s="28">
        <f>'Relay 3'!N9</f>
        <v>0</v>
      </c>
      <c r="K38" s="7" t="s">
        <v>23</v>
      </c>
    </row>
    <row r="39" spans="1:11" ht="15.75" customHeight="1" thickBot="1" x14ac:dyDescent="0.25">
      <c r="A39" s="7" t="str">
        <f>'Relay 3'!A10</f>
        <v>Time Multiplier (Lever)</v>
      </c>
      <c r="B39" s="31">
        <f>'Relay 3'!B10</f>
        <v>0.1</v>
      </c>
      <c r="F39" s="54"/>
      <c r="G39" s="54"/>
      <c r="H39" s="54"/>
      <c r="I39" s="54"/>
    </row>
    <row r="40" spans="1:11" ht="15.75" customHeight="1" thickBot="1" x14ac:dyDescent="0.25">
      <c r="A40" s="7" t="str">
        <f>'Relay 3'!A11</f>
        <v>Curve Type</v>
      </c>
      <c r="B40" s="10">
        <f>'Relay 3'!B11</f>
        <v>2</v>
      </c>
      <c r="G40" s="55" t="str">
        <f>'Relay 3'!$A$23</f>
        <v>Setting Status</v>
      </c>
      <c r="H40" s="84"/>
      <c r="I40" s="56">
        <f>'Relay 3'!$B$23</f>
        <v>1</v>
      </c>
    </row>
    <row r="41" spans="1:11" ht="12.75" hidden="1" customHeight="1" x14ac:dyDescent="0.2"/>
    <row r="42" spans="1:11" ht="15.75" customHeight="1" x14ac:dyDescent="0.2">
      <c r="A42" s="7" t="str">
        <f>'Relay 3'!A13</f>
        <v>Instantaneous Current</v>
      </c>
      <c r="B42" s="31">
        <f>'Relay 3'!B13</f>
        <v>1300</v>
      </c>
      <c r="C42" t="str">
        <f>'Relay 3'!C13</f>
        <v>A</v>
      </c>
    </row>
    <row r="43" spans="1:11" ht="15.75" customHeight="1" x14ac:dyDescent="0.2">
      <c r="A43" s="7" t="str">
        <f>'Relay 3'!A14</f>
        <v>Min Operating Time (s)</v>
      </c>
      <c r="B43" s="31">
        <f>'Relay 3'!B14</f>
        <v>0.1</v>
      </c>
      <c r="C43" t="str">
        <f>'Relay 3'!C14</f>
        <v>s</v>
      </c>
    </row>
    <row r="44" spans="1:11" ht="15.75" hidden="1" customHeight="1" x14ac:dyDescent="0.2"/>
    <row r="45" spans="1:11" ht="15.75" customHeight="1" x14ac:dyDescent="0.2">
      <c r="A45" s="7" t="str">
        <f>'Relay 3'!A16</f>
        <v>Definite Time Setting</v>
      </c>
      <c r="B45" s="31">
        <f>'Relay 3'!B16</f>
        <v>0</v>
      </c>
      <c r="C45" t="str">
        <f>'Relay 3'!C16</f>
        <v>s</v>
      </c>
    </row>
    <row r="46" spans="1:11" ht="8.25" customHeight="1" thickBot="1" x14ac:dyDescent="0.25">
      <c r="A46" s="57"/>
      <c r="B46" s="57"/>
      <c r="C46" s="57"/>
      <c r="D46" s="58"/>
      <c r="E46" s="57"/>
      <c r="F46" s="57"/>
      <c r="G46" s="57"/>
      <c r="H46" s="57"/>
      <c r="I46" s="57"/>
      <c r="J46" s="57"/>
      <c r="K46" s="57"/>
    </row>
    <row r="47" spans="1:11" ht="15.75" customHeight="1" x14ac:dyDescent="0.2">
      <c r="A47" s="52" t="str">
        <f>'Relay 4'!A3</f>
        <v>Relay 4</v>
      </c>
    </row>
    <row r="48" spans="1:11" ht="15.75" customHeight="1" x14ac:dyDescent="0.2">
      <c r="A48" s="7" t="str">
        <f>'Relay 4'!A4</f>
        <v>Relay Type</v>
      </c>
      <c r="B48" s="10">
        <f>'Relay 4'!B4</f>
        <v>15</v>
      </c>
      <c r="F48" s="100" t="str">
        <f>'Relay 1'!$I$5</f>
        <v>Grading Times</v>
      </c>
      <c r="G48" s="100"/>
      <c r="H48" s="100"/>
      <c r="I48" s="100"/>
      <c r="J48" s="100"/>
      <c r="K48" s="100"/>
    </row>
    <row r="49" spans="1:11" ht="15.75" customHeight="1" x14ac:dyDescent="0.2">
      <c r="A49" s="7" t="str">
        <f>'Relay 4'!A5</f>
        <v>Operating Designation</v>
      </c>
      <c r="B49" s="53" t="str">
        <f>'Relay 4'!B5</f>
        <v>Relay 4</v>
      </c>
      <c r="F49" s="19"/>
      <c r="G49" s="19"/>
      <c r="H49" s="19"/>
      <c r="I49" s="19"/>
      <c r="J49" s="19"/>
      <c r="K49" s="19"/>
    </row>
    <row r="50" spans="1:11" ht="15.75" customHeight="1" x14ac:dyDescent="0.2">
      <c r="A50" s="7" t="str">
        <f>'Relay 4'!A6</f>
        <v>Operating Voltage</v>
      </c>
      <c r="B50" s="10">
        <f>'Relay 4'!B6</f>
        <v>11</v>
      </c>
      <c r="C50" t="str">
        <f>'Relay 4'!C6</f>
        <v>kV</v>
      </c>
      <c r="F50" s="16" t="s">
        <v>25</v>
      </c>
      <c r="G50" s="74" t="str">
        <f>'Relay 4'!$J$6</f>
        <v>Relay 4</v>
      </c>
      <c r="H50" s="74" t="s">
        <v>28</v>
      </c>
      <c r="I50" s="29">
        <f>'Relay 4'!$L$6</f>
        <v>1</v>
      </c>
      <c r="J50" s="16" t="s">
        <v>146</v>
      </c>
      <c r="K50" s="16"/>
    </row>
    <row r="51" spans="1:11" ht="15.75" customHeight="1" x14ac:dyDescent="0.2">
      <c r="A51" s="7" t="str">
        <f>'Relay 4'!A7</f>
        <v>CT Ratio</v>
      </c>
      <c r="B51" s="10">
        <f>'Relay 4'!B7</f>
        <v>400</v>
      </c>
      <c r="C51" s="1" t="str">
        <f>'Relay 4'!C7</f>
        <v>to</v>
      </c>
      <c r="D51" s="32">
        <f>'Relay 4'!D7</f>
        <v>5</v>
      </c>
      <c r="E51" s="1"/>
      <c r="F51" s="29">
        <f>'Relay 4'!$I$7</f>
        <v>1</v>
      </c>
      <c r="G51" s="28">
        <f>'Relay 4'!$J$7</f>
        <v>0</v>
      </c>
      <c r="H51" s="28"/>
      <c r="I51" s="28">
        <f>'Relay 4'!$L$7</f>
        <v>0</v>
      </c>
      <c r="J51" s="28">
        <f>'Relay 4'!N7</f>
        <v>0</v>
      </c>
      <c r="K51" s="7" t="s">
        <v>23</v>
      </c>
    </row>
    <row r="52" spans="1:11" ht="15.75" customHeight="1" x14ac:dyDescent="0.2">
      <c r="A52" s="7" t="str">
        <f>'Relay 4'!A8</f>
        <v>Primary Current Setting</v>
      </c>
      <c r="B52" s="31">
        <f>'Relay 4'!B8</f>
        <v>300</v>
      </c>
      <c r="C52" t="str">
        <f>'Relay 4'!C8</f>
        <v>A</v>
      </c>
      <c r="F52" s="10">
        <f>'Relay 4'!$I$8</f>
        <v>1</v>
      </c>
      <c r="G52" s="28">
        <f>'Relay 4'!$J$8</f>
        <v>0</v>
      </c>
      <c r="H52" s="28"/>
      <c r="I52" s="28">
        <f>'Relay 4'!$L$8</f>
        <v>0</v>
      </c>
      <c r="J52" s="28">
        <f>'Relay 4'!N8</f>
        <v>0</v>
      </c>
      <c r="K52" s="7" t="s">
        <v>23</v>
      </c>
    </row>
    <row r="53" spans="1:11" ht="15.75" customHeight="1" x14ac:dyDescent="0.2">
      <c r="A53" s="7" t="str">
        <f>'Relay 4'!A9</f>
        <v>Secondary Current Setting</v>
      </c>
      <c r="B53" s="12">
        <f>'Relay 4'!B9</f>
        <v>3.75</v>
      </c>
      <c r="C53" t="str">
        <f>'Relay 4'!C9</f>
        <v>A</v>
      </c>
      <c r="F53" s="10">
        <f>'Relay 4'!$I$9</f>
        <v>1</v>
      </c>
      <c r="G53" s="28">
        <f>'Relay 4'!$J$9</f>
        <v>0</v>
      </c>
      <c r="H53" s="28"/>
      <c r="I53" s="28">
        <f>'Relay 4'!$L$9</f>
        <v>0</v>
      </c>
      <c r="J53" s="28">
        <f>'Relay 4'!N9</f>
        <v>0</v>
      </c>
      <c r="K53" s="7" t="s">
        <v>23</v>
      </c>
    </row>
    <row r="54" spans="1:11" ht="15.75" customHeight="1" thickBot="1" x14ac:dyDescent="0.25">
      <c r="A54" s="7" t="str">
        <f>'Relay 4'!A10</f>
        <v>Time Multiplier (Lever)</v>
      </c>
      <c r="B54" s="31">
        <f>'Relay 4'!B10</f>
        <v>0</v>
      </c>
      <c r="F54" s="54"/>
      <c r="G54" s="54"/>
      <c r="H54" s="54"/>
      <c r="I54" s="54"/>
    </row>
    <row r="55" spans="1:11" ht="15.75" customHeight="1" thickBot="1" x14ac:dyDescent="0.25">
      <c r="A55" s="7" t="str">
        <f>'Relay 4'!A11</f>
        <v>Curve Type</v>
      </c>
      <c r="B55" s="10">
        <f>'Relay 4'!B11</f>
        <v>2</v>
      </c>
      <c r="G55" s="55" t="str">
        <f>'Relay 4'!$A$23</f>
        <v>Setting Status</v>
      </c>
      <c r="H55" s="84"/>
      <c r="I55" s="56">
        <f>'Relay 4'!$B$23</f>
        <v>1</v>
      </c>
    </row>
    <row r="56" spans="1:11" ht="15.75" hidden="1" customHeight="1" x14ac:dyDescent="0.2"/>
    <row r="57" spans="1:11" ht="15.75" customHeight="1" x14ac:dyDescent="0.2">
      <c r="A57" s="7" t="str">
        <f>'Relay 4'!A13</f>
        <v>Instantaneous Current</v>
      </c>
      <c r="B57" s="31">
        <f>'Relay 4'!B13</f>
        <v>2210</v>
      </c>
      <c r="C57" t="str">
        <f>'Relay 4'!C13</f>
        <v>A</v>
      </c>
    </row>
    <row r="58" spans="1:11" ht="14.25" customHeight="1" x14ac:dyDescent="0.2">
      <c r="A58" s="7" t="str">
        <f>'Relay 4'!A14</f>
        <v>Min Operating Time (s)</v>
      </c>
      <c r="B58" s="31">
        <f>'Relay 4'!B14</f>
        <v>0.45</v>
      </c>
      <c r="C58" t="str">
        <f>'Relay 4'!C14</f>
        <v>s</v>
      </c>
    </row>
    <row r="59" spans="1:11" ht="15.75" hidden="1" customHeight="1" x14ac:dyDescent="0.2"/>
    <row r="60" spans="1:11" ht="15" customHeight="1" x14ac:dyDescent="0.2">
      <c r="A60" s="7" t="str">
        <f>'Relay 4'!A16</f>
        <v>Definite Time Setting</v>
      </c>
      <c r="B60" s="31">
        <f>'Relay 4'!B16</f>
        <v>0</v>
      </c>
      <c r="C60" t="str">
        <f>'Relay 4'!C16</f>
        <v>s</v>
      </c>
    </row>
    <row r="61" spans="1:11" ht="8.25" customHeight="1" thickBot="1" x14ac:dyDescent="0.25">
      <c r="A61" s="57"/>
      <c r="B61" s="57"/>
      <c r="C61" s="57"/>
      <c r="D61" s="58"/>
      <c r="E61" s="57"/>
      <c r="F61" s="57"/>
      <c r="G61" s="57"/>
      <c r="H61" s="57"/>
      <c r="I61" s="57"/>
      <c r="J61" s="57"/>
      <c r="K61" s="57"/>
    </row>
    <row r="62" spans="1:11" ht="15.75" customHeight="1" x14ac:dyDescent="0.2">
      <c r="A62" s="52" t="str">
        <f>'Relay 5'!A3</f>
        <v>Relay 5</v>
      </c>
    </row>
    <row r="63" spans="1:11" ht="15.75" customHeight="1" x14ac:dyDescent="0.2">
      <c r="A63" s="7" t="str">
        <f>'Relay 5'!A4</f>
        <v>Relay Type</v>
      </c>
      <c r="B63" s="10">
        <f>'Relay 5'!B4</f>
        <v>1</v>
      </c>
      <c r="F63" s="100" t="str">
        <f>'Relay 1'!$I$5</f>
        <v>Grading Times</v>
      </c>
      <c r="G63" s="100"/>
      <c r="H63" s="100"/>
      <c r="I63" s="100"/>
      <c r="J63" s="100"/>
      <c r="K63" s="100"/>
    </row>
    <row r="64" spans="1:11" ht="15.75" customHeight="1" x14ac:dyDescent="0.2">
      <c r="A64" s="7" t="str">
        <f>'Relay 5'!A5</f>
        <v>Operating Designation</v>
      </c>
      <c r="B64" s="53" t="str">
        <f>'Relay 5'!B5</f>
        <v>Relay 5</v>
      </c>
      <c r="F64" s="19"/>
      <c r="G64" s="19"/>
      <c r="H64" s="19"/>
      <c r="I64" s="19"/>
      <c r="J64" s="19"/>
      <c r="K64" s="19"/>
    </row>
    <row r="65" spans="1:11" ht="15.75" customHeight="1" x14ac:dyDescent="0.2">
      <c r="A65" s="7" t="str">
        <f>'Relay 5'!A6</f>
        <v>Operating Voltage</v>
      </c>
      <c r="B65" s="10">
        <f>'Relay 5'!B6</f>
        <v>11</v>
      </c>
      <c r="C65" t="str">
        <f>'Relay 5'!C6</f>
        <v>kV</v>
      </c>
      <c r="F65" s="16" t="s">
        <v>25</v>
      </c>
      <c r="G65" s="27" t="str">
        <f>'Relay 5'!$J$6</f>
        <v>Relay 5</v>
      </c>
      <c r="H65" s="27" t="s">
        <v>28</v>
      </c>
      <c r="I65" s="10">
        <f>'Relay 5'!$L$6</f>
        <v>1</v>
      </c>
      <c r="J65" s="7" t="s">
        <v>146</v>
      </c>
      <c r="K65" s="7"/>
    </row>
    <row r="66" spans="1:11" ht="15.75" customHeight="1" x14ac:dyDescent="0.2">
      <c r="A66" s="7" t="str">
        <f>'Relay 5'!A7</f>
        <v>CT Ratio</v>
      </c>
      <c r="B66" s="10">
        <f>'Relay 5'!B7</f>
        <v>400</v>
      </c>
      <c r="C66" s="1" t="str">
        <f>'Relay 5'!C7</f>
        <v>to</v>
      </c>
      <c r="D66" s="32">
        <f>'Relay 5'!D7</f>
        <v>5</v>
      </c>
      <c r="E66" s="1"/>
      <c r="F66" s="29">
        <f>'Relay 5'!$I$7</f>
        <v>1</v>
      </c>
      <c r="G66" s="28">
        <f>'Relay 5'!$J$7</f>
        <v>0</v>
      </c>
      <c r="H66" s="28"/>
      <c r="I66" s="28">
        <f>'Relay 5'!$L$7</f>
        <v>0</v>
      </c>
      <c r="J66" s="28">
        <f>'Relay 5'!N7</f>
        <v>0</v>
      </c>
      <c r="K66" s="7" t="s">
        <v>23</v>
      </c>
    </row>
    <row r="67" spans="1:11" ht="15.75" customHeight="1" x14ac:dyDescent="0.2">
      <c r="A67" s="7" t="str">
        <f>'Relay 5'!A8</f>
        <v>Primary Current Setting</v>
      </c>
      <c r="B67" s="31">
        <f>'Relay 5'!B8</f>
        <v>200</v>
      </c>
      <c r="C67" t="str">
        <f>'Relay 5'!C8</f>
        <v>A</v>
      </c>
      <c r="F67" s="10">
        <f>'Relay 5'!$I$8</f>
        <v>1</v>
      </c>
      <c r="G67" s="28">
        <f>'Relay 5'!$J$8</f>
        <v>0</v>
      </c>
      <c r="H67" s="28"/>
      <c r="I67" s="28">
        <f>'Relay 5'!$L$8</f>
        <v>0</v>
      </c>
      <c r="J67" s="28">
        <f>'Relay 5'!N8</f>
        <v>0</v>
      </c>
      <c r="K67" s="7" t="s">
        <v>23</v>
      </c>
    </row>
    <row r="68" spans="1:11" ht="15.75" customHeight="1" x14ac:dyDescent="0.2">
      <c r="A68" s="7" t="str">
        <f>'Relay 5'!A9</f>
        <v>Secondary Current Setting</v>
      </c>
      <c r="B68" s="12">
        <f>'Relay 5'!B9</f>
        <v>2.5</v>
      </c>
      <c r="C68" t="str">
        <f>'Relay 5'!C9</f>
        <v>A</v>
      </c>
      <c r="F68" s="10">
        <f>'Relay 5'!$I$9</f>
        <v>1</v>
      </c>
      <c r="G68" s="28">
        <f>'Relay 5'!$J$9</f>
        <v>0</v>
      </c>
      <c r="H68" s="28"/>
      <c r="I68" s="28">
        <f>'Relay 5'!$L$9</f>
        <v>0</v>
      </c>
      <c r="J68" s="28">
        <f>'Relay 5'!N9</f>
        <v>0</v>
      </c>
      <c r="K68" s="7" t="s">
        <v>23</v>
      </c>
    </row>
    <row r="69" spans="1:11" ht="15.75" customHeight="1" thickBot="1" x14ac:dyDescent="0.25">
      <c r="A69" s="7" t="str">
        <f>'Relay 5'!A10</f>
        <v>Time Multiplier (Lever)</v>
      </c>
      <c r="B69" s="31">
        <f>'Relay 5'!B10</f>
        <v>0.2</v>
      </c>
      <c r="F69" s="54"/>
      <c r="G69" s="54"/>
      <c r="H69" s="54"/>
      <c r="I69" s="54"/>
    </row>
    <row r="70" spans="1:11" ht="15.75" customHeight="1" thickBot="1" x14ac:dyDescent="0.25">
      <c r="A70" s="7" t="str">
        <f>'Relay 5'!A11</f>
        <v>Curve Type</v>
      </c>
      <c r="B70" s="10">
        <f>'Relay 5'!B11</f>
        <v>1</v>
      </c>
      <c r="G70" s="55" t="str">
        <f>'Relay 5'!$A$23</f>
        <v>Setting Status</v>
      </c>
      <c r="H70" s="84"/>
      <c r="I70" s="56">
        <f>'Relay 5'!$B$23</f>
        <v>1</v>
      </c>
    </row>
    <row r="71" spans="1:11" ht="15.75" hidden="1" customHeight="1" x14ac:dyDescent="0.2"/>
    <row r="72" spans="1:11" ht="15.75" customHeight="1" x14ac:dyDescent="0.2">
      <c r="A72" s="7" t="str">
        <f>'Relay 5'!A13</f>
        <v>Instantaneous Current</v>
      </c>
      <c r="B72" s="31">
        <f>'Relay 5'!B13</f>
        <v>1500</v>
      </c>
      <c r="C72" t="str">
        <f>'Relay 5'!C13</f>
        <v>A</v>
      </c>
    </row>
    <row r="73" spans="1:11" ht="15" customHeight="1" x14ac:dyDescent="0.2">
      <c r="A73" s="7" t="str">
        <f>'Relay 5'!A14</f>
        <v>Min Operating Time (s)</v>
      </c>
      <c r="B73" s="31">
        <f>'Relay 5'!B14</f>
        <v>0.15</v>
      </c>
      <c r="C73" t="str">
        <f>'Relay 5'!C14</f>
        <v>s</v>
      </c>
    </row>
    <row r="74" spans="1:11" ht="15.75" hidden="1" customHeight="1" x14ac:dyDescent="0.2"/>
    <row r="75" spans="1:11" ht="15.75" customHeight="1" x14ac:dyDescent="0.2">
      <c r="A75" s="7" t="str">
        <f>'Relay 5'!A16</f>
        <v>Definite Time Setting</v>
      </c>
      <c r="B75" s="31">
        <f>'Relay 5'!B16</f>
        <v>0</v>
      </c>
      <c r="C75" t="str">
        <f>'Relay 5'!C16</f>
        <v>s</v>
      </c>
    </row>
    <row r="76" spans="1:11" ht="8.25" customHeight="1" thickBot="1" x14ac:dyDescent="0.25">
      <c r="A76" s="57"/>
      <c r="B76" s="57"/>
      <c r="C76" s="57"/>
      <c r="D76" s="58"/>
      <c r="E76" s="57"/>
      <c r="F76" s="57"/>
      <c r="G76" s="57"/>
      <c r="H76" s="57"/>
      <c r="I76" s="57"/>
      <c r="J76" s="57"/>
      <c r="K76" s="57"/>
    </row>
    <row r="77" spans="1:11" ht="15.75" customHeight="1" x14ac:dyDescent="0.2">
      <c r="A77" s="52" t="str">
        <f>'Relay 6'!A3</f>
        <v>Relay 6</v>
      </c>
    </row>
    <row r="78" spans="1:11" ht="15.75" customHeight="1" x14ac:dyDescent="0.2">
      <c r="A78" s="7" t="str">
        <f>'Relay 6'!A4</f>
        <v>Relay Type</v>
      </c>
      <c r="B78" s="10">
        <f>'Relay 6'!B4</f>
        <v>1</v>
      </c>
      <c r="F78" s="100" t="str">
        <f>'Relay 1'!$I$5</f>
        <v>Grading Times</v>
      </c>
      <c r="G78" s="100"/>
      <c r="H78" s="100"/>
      <c r="I78" s="100"/>
      <c r="J78" s="100"/>
      <c r="K78" s="100"/>
    </row>
    <row r="79" spans="1:11" ht="15.75" customHeight="1" x14ac:dyDescent="0.2">
      <c r="A79" s="7" t="str">
        <f>'Relay 6'!A5</f>
        <v>Operating Designation</v>
      </c>
      <c r="B79" s="53" t="str">
        <f>'Relay 6'!B5</f>
        <v>Relay 6</v>
      </c>
      <c r="F79" s="19"/>
      <c r="G79" s="19"/>
      <c r="H79" s="19"/>
      <c r="I79" s="19"/>
      <c r="J79" s="19"/>
      <c r="K79" s="19"/>
    </row>
    <row r="80" spans="1:11" ht="15.75" customHeight="1" x14ac:dyDescent="0.2">
      <c r="A80" s="7" t="str">
        <f>'Relay 6'!A6</f>
        <v>Operating Voltage</v>
      </c>
      <c r="B80" s="10">
        <f>'Relay 6'!B6</f>
        <v>11</v>
      </c>
      <c r="C80" t="str">
        <f>'Relay 6'!C6</f>
        <v>kV</v>
      </c>
      <c r="F80" s="16" t="s">
        <v>25</v>
      </c>
      <c r="G80" s="74" t="str">
        <f>'Relay 6'!$J$6</f>
        <v>Relay 6</v>
      </c>
      <c r="H80" s="74" t="s">
        <v>28</v>
      </c>
      <c r="I80" s="29">
        <f>'Relay 6'!$L$6</f>
        <v>1</v>
      </c>
      <c r="J80" s="16" t="s">
        <v>146</v>
      </c>
      <c r="K80" s="16"/>
    </row>
    <row r="81" spans="1:11" ht="15.75" customHeight="1" x14ac:dyDescent="0.2">
      <c r="A81" s="7" t="str">
        <f>'Relay 6'!A7</f>
        <v>CT Ratio</v>
      </c>
      <c r="B81" s="10">
        <f>'Relay 6'!B7</f>
        <v>400</v>
      </c>
      <c r="C81" s="1" t="str">
        <f>'Relay 6'!C7</f>
        <v>to</v>
      </c>
      <c r="D81" s="32">
        <f>'Relay 6'!D7</f>
        <v>5</v>
      </c>
      <c r="E81" s="1"/>
      <c r="F81" s="29">
        <f>'Relay 6'!$I$7</f>
        <v>1</v>
      </c>
      <c r="G81" s="28">
        <f>'Relay 6'!$J$7</f>
        <v>0</v>
      </c>
      <c r="H81" s="28"/>
      <c r="I81" s="28">
        <f>'Relay 6'!$L$7</f>
        <v>0</v>
      </c>
      <c r="J81" s="28">
        <f>'Relay 6'!N7</f>
        <v>0</v>
      </c>
      <c r="K81" s="7" t="s">
        <v>23</v>
      </c>
    </row>
    <row r="82" spans="1:11" ht="15.75" customHeight="1" x14ac:dyDescent="0.2">
      <c r="A82" s="7" t="str">
        <f>'Relay 6'!A8</f>
        <v>Primary Current Setting</v>
      </c>
      <c r="B82" s="31">
        <f>'Relay 6'!B8</f>
        <v>0</v>
      </c>
      <c r="C82" t="str">
        <f>'Relay 6'!C8</f>
        <v>A</v>
      </c>
      <c r="F82" s="10">
        <f>'Relay 6'!$I$8</f>
        <v>1</v>
      </c>
      <c r="G82" s="28">
        <f>'Relay 6'!$J$8</f>
        <v>0</v>
      </c>
      <c r="H82" s="28"/>
      <c r="I82" s="28">
        <f>'Relay 6'!$L$8</f>
        <v>0</v>
      </c>
      <c r="J82" s="28">
        <f>'Relay 6'!N8</f>
        <v>0</v>
      </c>
      <c r="K82" s="7" t="s">
        <v>23</v>
      </c>
    </row>
    <row r="83" spans="1:11" ht="15.75" customHeight="1" x14ac:dyDescent="0.2">
      <c r="A83" s="7" t="str">
        <f>'Relay 6'!A9</f>
        <v>Secondary Current Setting</v>
      </c>
      <c r="B83" s="12">
        <f>'Relay 6'!B9</f>
        <v>0</v>
      </c>
      <c r="C83" t="str">
        <f>'Relay 6'!C9</f>
        <v>A</v>
      </c>
      <c r="F83" s="10">
        <f>'Relay 6'!$I$9</f>
        <v>1</v>
      </c>
      <c r="G83" s="28">
        <f>'Relay 6'!$J$9</f>
        <v>0</v>
      </c>
      <c r="H83" s="28"/>
      <c r="I83" s="28">
        <f>'Relay 6'!$L$9</f>
        <v>0</v>
      </c>
      <c r="J83" s="28">
        <f>'Relay 6'!N9</f>
        <v>0</v>
      </c>
      <c r="K83" s="7" t="s">
        <v>23</v>
      </c>
    </row>
    <row r="84" spans="1:11" ht="15.75" customHeight="1" thickBot="1" x14ac:dyDescent="0.25">
      <c r="A84" s="7" t="str">
        <f>'Relay 6'!A10</f>
        <v>Time Multiplier (Lever)</v>
      </c>
      <c r="B84" s="31">
        <f>'Relay 6'!B10</f>
        <v>0</v>
      </c>
      <c r="F84" s="54"/>
      <c r="G84" s="54"/>
      <c r="H84" s="54"/>
      <c r="I84" s="54"/>
    </row>
    <row r="85" spans="1:11" ht="15.75" customHeight="1" thickBot="1" x14ac:dyDescent="0.25">
      <c r="A85" s="7" t="str">
        <f>'Relay 6'!A11</f>
        <v>Curve Type</v>
      </c>
      <c r="B85" s="10">
        <f>'Relay 6'!B11</f>
        <v>1</v>
      </c>
      <c r="G85" s="55" t="str">
        <f>'Relay 6'!$A$23</f>
        <v>Setting Status</v>
      </c>
      <c r="H85" s="84"/>
      <c r="I85" s="56">
        <f>'Relay 6'!$B$23</f>
        <v>1</v>
      </c>
    </row>
    <row r="86" spans="1:11" ht="15.75" hidden="1" customHeight="1" x14ac:dyDescent="0.2"/>
    <row r="87" spans="1:11" ht="15.75" customHeight="1" x14ac:dyDescent="0.2">
      <c r="A87" s="7" t="str">
        <f>'Relay 6'!A13</f>
        <v>Instantaneous Current</v>
      </c>
      <c r="B87" s="31">
        <f>'Relay 6'!B13</f>
        <v>0</v>
      </c>
      <c r="C87" t="str">
        <f>'Relay 6'!C13</f>
        <v>A</v>
      </c>
    </row>
    <row r="88" spans="1:11" ht="15.75" customHeight="1" x14ac:dyDescent="0.2">
      <c r="A88" s="7" t="str">
        <f>'Relay 6'!A14</f>
        <v>Min Operating Time (s)</v>
      </c>
      <c r="B88" s="31">
        <f>'Relay 6'!B14</f>
        <v>0</v>
      </c>
      <c r="C88" t="str">
        <f>'Relay 6'!C14</f>
        <v>s</v>
      </c>
    </row>
    <row r="89" spans="1:11" ht="15.75" hidden="1" customHeight="1" x14ac:dyDescent="0.2"/>
    <row r="90" spans="1:11" ht="15.75" customHeight="1" x14ac:dyDescent="0.2">
      <c r="A90" s="7" t="str">
        <f>'Relay 6'!A16</f>
        <v>Definite Time Setting</v>
      </c>
      <c r="B90" s="31">
        <f>'Relay 6'!B16</f>
        <v>0</v>
      </c>
      <c r="C90" t="str">
        <f>'Relay 6'!C16</f>
        <v>s</v>
      </c>
    </row>
    <row r="91" spans="1:11" ht="8.25" customHeight="1" thickBot="1" x14ac:dyDescent="0.25">
      <c r="A91" s="57"/>
      <c r="B91" s="57"/>
      <c r="C91" s="57"/>
      <c r="D91" s="58"/>
      <c r="E91" s="57"/>
      <c r="F91" s="57"/>
      <c r="G91" s="57"/>
      <c r="H91" s="57"/>
      <c r="I91" s="57"/>
      <c r="J91" s="57"/>
      <c r="K91" s="57"/>
    </row>
    <row r="92" spans="1:11" ht="15.75" customHeight="1" x14ac:dyDescent="0.2">
      <c r="A92" s="52" t="str">
        <f>'Relay 7'!A3</f>
        <v>Relay 7</v>
      </c>
    </row>
    <row r="93" spans="1:11" ht="15.75" customHeight="1" x14ac:dyDescent="0.2">
      <c r="A93" s="7" t="str">
        <f>'Relay 7'!A4</f>
        <v>Relay Type</v>
      </c>
      <c r="B93" s="10">
        <f>'Relay 7'!B4</f>
        <v>1</v>
      </c>
      <c r="F93" s="100" t="str">
        <f>'Relay 1'!$I$5</f>
        <v>Grading Times</v>
      </c>
      <c r="G93" s="100"/>
      <c r="H93" s="100"/>
      <c r="I93" s="100"/>
      <c r="J93" s="100"/>
      <c r="K93" s="100"/>
    </row>
    <row r="94" spans="1:11" ht="15.75" customHeight="1" x14ac:dyDescent="0.2">
      <c r="A94" s="7" t="str">
        <f>'Relay 7'!A5</f>
        <v>Operating Designation</v>
      </c>
      <c r="B94" s="53" t="str">
        <f>'Relay 7'!B5</f>
        <v>Relay 7</v>
      </c>
      <c r="F94" s="19"/>
      <c r="G94" s="19"/>
      <c r="H94" s="19"/>
      <c r="I94" s="19"/>
      <c r="J94" s="19"/>
      <c r="K94" s="19"/>
    </row>
    <row r="95" spans="1:11" ht="15.75" customHeight="1" x14ac:dyDescent="0.2">
      <c r="A95" s="7" t="str">
        <f>'Relay 7'!A6</f>
        <v>Operating Voltage</v>
      </c>
      <c r="B95" s="10">
        <f>'Relay 7'!B6</f>
        <v>11</v>
      </c>
      <c r="C95" t="str">
        <f>'Relay 7'!C6</f>
        <v>kV</v>
      </c>
      <c r="F95" s="16" t="s">
        <v>25</v>
      </c>
      <c r="G95" s="74" t="str">
        <f>'Relay 7'!$J$6</f>
        <v>Relay 7</v>
      </c>
      <c r="H95" s="74" t="s">
        <v>28</v>
      </c>
      <c r="I95" s="29">
        <f>'Relay 7'!$L$6</f>
        <v>1</v>
      </c>
      <c r="J95" s="16" t="s">
        <v>146</v>
      </c>
      <c r="K95" s="16"/>
    </row>
    <row r="96" spans="1:11" ht="15.75" customHeight="1" x14ac:dyDescent="0.2">
      <c r="A96" s="7" t="str">
        <f>'Relay 7'!A7</f>
        <v>CT Ratio</v>
      </c>
      <c r="B96" s="10">
        <f>'Relay 7'!B7</f>
        <v>400</v>
      </c>
      <c r="C96" s="1" t="str">
        <f>'Relay 7'!C7</f>
        <v>to</v>
      </c>
      <c r="D96" s="32">
        <f>'Relay 7'!D7</f>
        <v>5</v>
      </c>
      <c r="E96" s="1"/>
      <c r="F96" s="29">
        <f>'Relay 7'!$I$7</f>
        <v>1</v>
      </c>
      <c r="G96" s="28">
        <f>'Relay 7'!$J$7</f>
        <v>0</v>
      </c>
      <c r="H96" s="28"/>
      <c r="I96" s="28">
        <f>'Relay 7'!$L$7</f>
        <v>0</v>
      </c>
      <c r="J96" s="28">
        <f>'Relay 7'!N7</f>
        <v>0</v>
      </c>
      <c r="K96" s="7" t="s">
        <v>23</v>
      </c>
    </row>
    <row r="97" spans="1:11" ht="15.75" customHeight="1" x14ac:dyDescent="0.2">
      <c r="A97" s="7" t="str">
        <f>'Relay 7'!A8</f>
        <v>Primary Current Setting</v>
      </c>
      <c r="B97" s="31">
        <f>'Relay 7'!B8</f>
        <v>0</v>
      </c>
      <c r="C97" t="str">
        <f>'Relay 7'!C8</f>
        <v>A</v>
      </c>
      <c r="F97" s="10">
        <f>'Relay 7'!$I$8</f>
        <v>1</v>
      </c>
      <c r="G97" s="28">
        <f>'Relay 7'!$J$8</f>
        <v>0</v>
      </c>
      <c r="H97" s="28"/>
      <c r="I97" s="28">
        <f>'Relay 7'!$L$8</f>
        <v>0</v>
      </c>
      <c r="J97" s="28">
        <f>'Relay 7'!N8</f>
        <v>0</v>
      </c>
      <c r="K97" s="7" t="s">
        <v>23</v>
      </c>
    </row>
    <row r="98" spans="1:11" ht="15.75" customHeight="1" x14ac:dyDescent="0.2">
      <c r="A98" s="7" t="str">
        <f>'Relay 7'!A9</f>
        <v>Secondary Current Setting</v>
      </c>
      <c r="B98" s="12">
        <f>'Relay 7'!B9</f>
        <v>0</v>
      </c>
      <c r="C98" t="str">
        <f>'Relay 7'!C9</f>
        <v>A</v>
      </c>
      <c r="F98" s="10">
        <f>'Relay 7'!$I$9</f>
        <v>1</v>
      </c>
      <c r="G98" s="28">
        <f>'Relay 7'!$J$9</f>
        <v>0</v>
      </c>
      <c r="H98" s="28"/>
      <c r="I98" s="28">
        <f>'Relay 7'!$L$9</f>
        <v>0</v>
      </c>
      <c r="J98" s="28">
        <f>'Relay 7'!N9</f>
        <v>0</v>
      </c>
      <c r="K98" s="7" t="s">
        <v>23</v>
      </c>
    </row>
    <row r="99" spans="1:11" ht="15.75" customHeight="1" thickBot="1" x14ac:dyDescent="0.25">
      <c r="A99" s="7" t="str">
        <f>'Relay 7'!A10</f>
        <v>Time Multiplier (Lever)</v>
      </c>
      <c r="B99" s="31">
        <f>'Relay 7'!B10</f>
        <v>0</v>
      </c>
      <c r="F99" s="54"/>
      <c r="G99" s="54"/>
      <c r="H99" s="54"/>
      <c r="I99" s="54"/>
    </row>
    <row r="100" spans="1:11" ht="15.75" customHeight="1" thickBot="1" x14ac:dyDescent="0.25">
      <c r="A100" s="7" t="str">
        <f>'Relay 7'!A11</f>
        <v>Curve Type</v>
      </c>
      <c r="B100" s="10">
        <f>'Relay 7'!B11</f>
        <v>1</v>
      </c>
      <c r="G100" s="55" t="str">
        <f>'Relay 7'!$A$23</f>
        <v>Setting Status</v>
      </c>
      <c r="H100" s="84"/>
      <c r="I100" s="56">
        <f>'Relay 7'!$B$23</f>
        <v>1</v>
      </c>
    </row>
    <row r="101" spans="1:11" ht="15.75" hidden="1" customHeight="1" x14ac:dyDescent="0.2"/>
    <row r="102" spans="1:11" ht="15.75" customHeight="1" x14ac:dyDescent="0.2">
      <c r="A102" s="7" t="str">
        <f>'Relay 7'!A13</f>
        <v>Instantaneous Current</v>
      </c>
      <c r="B102" s="31">
        <f>'Relay 7'!B13</f>
        <v>0</v>
      </c>
      <c r="C102" t="str">
        <f>'Relay 7'!C13</f>
        <v>A</v>
      </c>
    </row>
    <row r="103" spans="1:11" ht="15.75" customHeight="1" x14ac:dyDescent="0.2">
      <c r="A103" s="7" t="str">
        <f>'Relay 7'!A14</f>
        <v>Min Operating Time (s)</v>
      </c>
      <c r="B103" s="31">
        <f>'Relay 7'!B14</f>
        <v>0</v>
      </c>
      <c r="C103" t="str">
        <f>'Relay 7'!C14</f>
        <v>s</v>
      </c>
    </row>
    <row r="104" spans="1:11" ht="15.75" hidden="1" customHeight="1" x14ac:dyDescent="0.2"/>
    <row r="105" spans="1:11" ht="15.75" customHeight="1" x14ac:dyDescent="0.2">
      <c r="A105" s="7" t="str">
        <f>'Relay 7'!A16</f>
        <v>Definite Time Setting</v>
      </c>
      <c r="B105" s="31">
        <f>'Relay 7'!B16</f>
        <v>0</v>
      </c>
      <c r="C105" t="str">
        <f>'Relay 7'!C16</f>
        <v>s</v>
      </c>
    </row>
    <row r="106" spans="1:11" ht="8.25" customHeight="1" thickBot="1" x14ac:dyDescent="0.25">
      <c r="A106" s="57"/>
      <c r="B106" s="57"/>
      <c r="C106" s="57"/>
      <c r="D106" s="58"/>
      <c r="E106" s="57"/>
      <c r="F106" s="57"/>
      <c r="G106" s="57"/>
      <c r="H106" s="57"/>
      <c r="I106" s="57"/>
      <c r="J106" s="57"/>
      <c r="K106" s="57"/>
    </row>
    <row r="107" spans="1:11" ht="15.75" customHeight="1" x14ac:dyDescent="0.2">
      <c r="A107" s="52" t="str">
        <f>'Relay 8'!A3</f>
        <v>Relay 8</v>
      </c>
    </row>
    <row r="108" spans="1:11" ht="15.75" customHeight="1" x14ac:dyDescent="0.2">
      <c r="A108" s="7" t="str">
        <f>'Relay 8'!A4</f>
        <v>Relay Type</v>
      </c>
      <c r="B108" s="10">
        <f>'Relay 8'!B4</f>
        <v>1</v>
      </c>
      <c r="F108" s="100" t="str">
        <f>'Relay 1'!$I$5</f>
        <v>Grading Times</v>
      </c>
      <c r="G108" s="100"/>
      <c r="H108" s="100"/>
      <c r="I108" s="100"/>
      <c r="J108" s="100"/>
      <c r="K108" s="100"/>
    </row>
    <row r="109" spans="1:11" ht="15.75" customHeight="1" x14ac:dyDescent="0.2">
      <c r="A109" s="7" t="str">
        <f>'Relay 8'!A5</f>
        <v>Operating Designation</v>
      </c>
      <c r="B109" s="53" t="str">
        <f>'Relay 8'!B5</f>
        <v>Relay 8</v>
      </c>
      <c r="F109" s="19"/>
      <c r="G109" s="19"/>
      <c r="H109" s="19"/>
      <c r="I109" s="19"/>
      <c r="J109" s="19"/>
      <c r="K109" s="19"/>
    </row>
    <row r="110" spans="1:11" ht="15.75" customHeight="1" x14ac:dyDescent="0.2">
      <c r="A110" s="7" t="str">
        <f>'Relay 8'!A6</f>
        <v>Operating Voltage</v>
      </c>
      <c r="B110" s="10">
        <f>'Relay 8'!B6</f>
        <v>11</v>
      </c>
      <c r="C110" t="str">
        <f>'Relay 8'!C6</f>
        <v>kV</v>
      </c>
      <c r="F110" s="16" t="s">
        <v>25</v>
      </c>
      <c r="G110" s="74" t="str">
        <f>'Relay 8'!$J$6</f>
        <v>Relay 8</v>
      </c>
      <c r="H110" s="74" t="s">
        <v>28</v>
      </c>
      <c r="I110" s="29">
        <f>'Relay 8'!$L$6</f>
        <v>1</v>
      </c>
      <c r="J110" s="16" t="s">
        <v>146</v>
      </c>
      <c r="K110" s="16"/>
    </row>
    <row r="111" spans="1:11" ht="15.75" customHeight="1" x14ac:dyDescent="0.2">
      <c r="A111" s="7" t="str">
        <f>'Relay 8'!A7</f>
        <v>CT Ratio</v>
      </c>
      <c r="B111" s="10">
        <f>'Relay 8'!B7</f>
        <v>400</v>
      </c>
      <c r="C111" s="1" t="str">
        <f>'Relay 8'!C7</f>
        <v>to</v>
      </c>
      <c r="D111" s="32">
        <f>'Relay 8'!D7</f>
        <v>5</v>
      </c>
      <c r="E111" s="1"/>
      <c r="F111" s="29">
        <f>'Relay 8'!$I$7</f>
        <v>1</v>
      </c>
      <c r="G111" s="28">
        <f>'Relay 8'!$J$7</f>
        <v>0</v>
      </c>
      <c r="H111" s="28"/>
      <c r="I111" s="28">
        <f>'Relay 8'!$L$7</f>
        <v>0</v>
      </c>
      <c r="J111" s="28">
        <f>'Relay 8'!N7</f>
        <v>0</v>
      </c>
      <c r="K111" s="7" t="s">
        <v>23</v>
      </c>
    </row>
    <row r="112" spans="1:11" ht="15.75" customHeight="1" x14ac:dyDescent="0.2">
      <c r="A112" s="7" t="str">
        <f>'Relay 8'!A8</f>
        <v>Primary Current Setting</v>
      </c>
      <c r="B112" s="31">
        <f>'Relay 8'!B8</f>
        <v>0</v>
      </c>
      <c r="C112" t="str">
        <f>'Relay 8'!C8</f>
        <v>A</v>
      </c>
      <c r="F112" s="10">
        <f>'Relay 8'!$I$8</f>
        <v>1</v>
      </c>
      <c r="G112" s="28">
        <f>'Relay 8'!$J$8</f>
        <v>0</v>
      </c>
      <c r="H112" s="28"/>
      <c r="I112" s="28">
        <f>'Relay 8'!$L$8</f>
        <v>0</v>
      </c>
      <c r="J112" s="28">
        <f>'Relay 8'!N8</f>
        <v>0</v>
      </c>
      <c r="K112" s="7" t="s">
        <v>23</v>
      </c>
    </row>
    <row r="113" spans="1:11" ht="15.75" customHeight="1" x14ac:dyDescent="0.2">
      <c r="A113" s="7" t="str">
        <f>'Relay 8'!A9</f>
        <v>Secondary Current Setting</v>
      </c>
      <c r="B113" s="12">
        <f>'Relay 8'!B9</f>
        <v>0</v>
      </c>
      <c r="C113" t="str">
        <f>'Relay 8'!C9</f>
        <v>A</v>
      </c>
      <c r="F113" s="10">
        <f>'Relay 8'!$I$9</f>
        <v>1</v>
      </c>
      <c r="G113" s="28">
        <f>'Relay 8'!$J$9</f>
        <v>0</v>
      </c>
      <c r="H113" s="28"/>
      <c r="I113" s="28">
        <f>'Relay 8'!$L$9</f>
        <v>0</v>
      </c>
      <c r="J113" s="28">
        <f>'Relay 8'!N9</f>
        <v>0</v>
      </c>
      <c r="K113" s="7" t="s">
        <v>23</v>
      </c>
    </row>
    <row r="114" spans="1:11" ht="15.75" customHeight="1" thickBot="1" x14ac:dyDescent="0.25">
      <c r="A114" s="7" t="str">
        <f>'Relay 8'!A10</f>
        <v>Time Multiplier (Lever)</v>
      </c>
      <c r="B114" s="31">
        <f>'Relay 8'!B10</f>
        <v>0</v>
      </c>
      <c r="F114" s="54"/>
      <c r="G114" s="54"/>
      <c r="H114" s="54"/>
      <c r="I114" s="54"/>
    </row>
    <row r="115" spans="1:11" ht="15.75" customHeight="1" thickBot="1" x14ac:dyDescent="0.25">
      <c r="A115" s="7" t="str">
        <f>'Relay 8'!A11</f>
        <v>Curve Type</v>
      </c>
      <c r="B115" s="10">
        <f>'Relay 8'!B11</f>
        <v>1</v>
      </c>
      <c r="G115" s="55" t="str">
        <f>'Relay 8'!$A$23</f>
        <v>Setting Status</v>
      </c>
      <c r="H115" s="84"/>
      <c r="I115" s="56">
        <f>'Relay 8'!$B$23</f>
        <v>1</v>
      </c>
    </row>
    <row r="116" spans="1:11" ht="15.75" hidden="1" customHeight="1" x14ac:dyDescent="0.2"/>
    <row r="117" spans="1:11" ht="15.75" customHeight="1" x14ac:dyDescent="0.2">
      <c r="A117" s="7" t="str">
        <f>'Relay 8'!A13</f>
        <v>Instantaneous Current</v>
      </c>
      <c r="B117" s="31">
        <f>'Relay 8'!B13</f>
        <v>0</v>
      </c>
      <c r="C117" t="str">
        <f>'Relay 8'!C13</f>
        <v>A</v>
      </c>
    </row>
    <row r="118" spans="1:11" ht="15.75" customHeight="1" x14ac:dyDescent="0.2">
      <c r="A118" s="7" t="str">
        <f>'Relay 8'!A14</f>
        <v>Min Operating Time (s)</v>
      </c>
      <c r="B118" s="31">
        <f>'Relay 8'!B14</f>
        <v>0</v>
      </c>
      <c r="C118" t="str">
        <f>'Relay 8'!C14</f>
        <v>s</v>
      </c>
    </row>
    <row r="119" spans="1:11" ht="15.75" hidden="1" customHeight="1" x14ac:dyDescent="0.2"/>
    <row r="120" spans="1:11" ht="15.75" customHeight="1" x14ac:dyDescent="0.2">
      <c r="A120" s="7" t="str">
        <f>'Relay 8'!A16</f>
        <v>Definite Time Setting</v>
      </c>
      <c r="B120" s="31">
        <f>'Relay 8'!B16</f>
        <v>0</v>
      </c>
      <c r="C120" t="str">
        <f>'Relay 8'!C16</f>
        <v>s</v>
      </c>
    </row>
    <row r="121" spans="1:11" ht="8.25" customHeight="1" thickBot="1" x14ac:dyDescent="0.25">
      <c r="A121" s="57"/>
      <c r="B121" s="57"/>
      <c r="C121" s="57"/>
      <c r="D121" s="58"/>
      <c r="E121" s="57"/>
      <c r="F121" s="57"/>
      <c r="G121" s="57"/>
      <c r="H121" s="57"/>
      <c r="I121" s="57"/>
      <c r="J121" s="57"/>
      <c r="K121" s="57"/>
    </row>
    <row r="122" spans="1:11" ht="15.75" customHeight="1" x14ac:dyDescent="0.2">
      <c r="A122" s="52" t="str">
        <f>'Relay 9'!A3</f>
        <v>Relay 9</v>
      </c>
    </row>
    <row r="123" spans="1:11" ht="15.75" customHeight="1" x14ac:dyDescent="0.2">
      <c r="A123" s="7" t="str">
        <f>'Relay 9'!A4</f>
        <v>Relay Type</v>
      </c>
      <c r="B123" s="10">
        <f>'Relay 9'!B4</f>
        <v>1</v>
      </c>
      <c r="F123" s="100" t="str">
        <f>'Relay 1'!$I$5</f>
        <v>Grading Times</v>
      </c>
      <c r="G123" s="100"/>
      <c r="H123" s="100"/>
      <c r="I123" s="100"/>
      <c r="J123" s="100"/>
      <c r="K123" s="100"/>
    </row>
    <row r="124" spans="1:11" ht="15.75" customHeight="1" x14ac:dyDescent="0.2">
      <c r="A124" s="7" t="str">
        <f>'Relay 9'!A5</f>
        <v>Operating Designation</v>
      </c>
      <c r="B124" s="53" t="str">
        <f>'Relay 9'!B5</f>
        <v>Relay 9</v>
      </c>
      <c r="F124" s="19"/>
      <c r="G124" s="19"/>
      <c r="H124" s="19"/>
      <c r="I124" s="19"/>
      <c r="J124" s="19"/>
      <c r="K124" s="19"/>
    </row>
    <row r="125" spans="1:11" ht="15.75" customHeight="1" x14ac:dyDescent="0.2">
      <c r="A125" s="7" t="str">
        <f>'Relay 9'!A6</f>
        <v>Operating Voltage</v>
      </c>
      <c r="B125" s="10">
        <f>'Relay 9'!B6</f>
        <v>11</v>
      </c>
      <c r="C125" t="str">
        <f>'Relay 9'!C6</f>
        <v>kV</v>
      </c>
      <c r="F125" s="16" t="s">
        <v>25</v>
      </c>
      <c r="G125" s="74" t="str">
        <f>'Relay 9'!$J$6</f>
        <v>Relay 9</v>
      </c>
      <c r="H125" s="74" t="s">
        <v>28</v>
      </c>
      <c r="I125" s="29">
        <f>'Relay 9'!$L$6</f>
        <v>1</v>
      </c>
      <c r="J125" s="16" t="s">
        <v>146</v>
      </c>
      <c r="K125" s="16"/>
    </row>
    <row r="126" spans="1:11" ht="15.75" customHeight="1" x14ac:dyDescent="0.2">
      <c r="A126" s="7" t="str">
        <f>'Relay 9'!A7</f>
        <v>CT Ratio</v>
      </c>
      <c r="B126" s="10">
        <f>'Relay 9'!B7</f>
        <v>400</v>
      </c>
      <c r="C126" s="1" t="str">
        <f>'Relay 9'!C7</f>
        <v>to</v>
      </c>
      <c r="D126" s="32">
        <f>'Relay 9'!D7</f>
        <v>5</v>
      </c>
      <c r="E126" s="1"/>
      <c r="F126" s="29">
        <f>'Relay 9'!$I$7</f>
        <v>1</v>
      </c>
      <c r="G126" s="28">
        <f>'Relay 9'!$J$7</f>
        <v>0</v>
      </c>
      <c r="H126" s="28"/>
      <c r="I126" s="28">
        <f>'Relay 9'!$L$7</f>
        <v>0</v>
      </c>
      <c r="J126" s="28">
        <f>'Relay 9'!N7</f>
        <v>0</v>
      </c>
      <c r="K126" s="7" t="s">
        <v>23</v>
      </c>
    </row>
    <row r="127" spans="1:11" ht="15.75" customHeight="1" x14ac:dyDescent="0.2">
      <c r="A127" s="7" t="str">
        <f>'Relay 9'!A8</f>
        <v>Primary Current Setting</v>
      </c>
      <c r="B127" s="31">
        <f>'Relay 9'!B8</f>
        <v>100</v>
      </c>
      <c r="C127" t="str">
        <f>'Relay 9'!C8</f>
        <v>A</v>
      </c>
      <c r="F127" s="10">
        <f>'Relay 9'!$I$8</f>
        <v>1</v>
      </c>
      <c r="G127" s="28">
        <f>'Relay 9'!$J$8</f>
        <v>0</v>
      </c>
      <c r="H127" s="28"/>
      <c r="I127" s="28">
        <f>'Relay 9'!$L$8</f>
        <v>0</v>
      </c>
      <c r="J127" s="28">
        <f>'Relay 9'!N8</f>
        <v>0</v>
      </c>
      <c r="K127" s="7" t="s">
        <v>23</v>
      </c>
    </row>
    <row r="128" spans="1:11" ht="15.75" customHeight="1" x14ac:dyDescent="0.2">
      <c r="A128" s="7" t="str">
        <f>'Relay 9'!A9</f>
        <v>Secondary Current Setting</v>
      </c>
      <c r="B128" s="12">
        <f>'Relay 9'!B9</f>
        <v>1.25</v>
      </c>
      <c r="C128" t="str">
        <f>'Relay 9'!C9</f>
        <v>A</v>
      </c>
      <c r="F128" s="10">
        <f>'Relay 9'!$I$9</f>
        <v>1</v>
      </c>
      <c r="G128" s="28">
        <f>'Relay 9'!$J$9</f>
        <v>0</v>
      </c>
      <c r="H128" s="28"/>
      <c r="I128" s="28">
        <f>'Relay 9'!$L$9</f>
        <v>0</v>
      </c>
      <c r="J128" s="28">
        <f>'Relay 9'!N9</f>
        <v>0</v>
      </c>
      <c r="K128" s="7" t="s">
        <v>23</v>
      </c>
    </row>
    <row r="129" spans="1:11" ht="15.75" customHeight="1" thickBot="1" x14ac:dyDescent="0.25">
      <c r="A129" s="7" t="str">
        <f>'Relay 9'!A10</f>
        <v>Time Multiplier (Lever)</v>
      </c>
      <c r="B129" s="31">
        <f>'Relay 9'!B10</f>
        <v>0</v>
      </c>
      <c r="F129" s="54"/>
      <c r="G129" s="54"/>
      <c r="H129" s="54"/>
      <c r="I129" s="54"/>
    </row>
    <row r="130" spans="1:11" ht="15.75" customHeight="1" thickBot="1" x14ac:dyDescent="0.25">
      <c r="A130" s="7" t="str">
        <f>'Relay 9'!A11</f>
        <v>Curve Type</v>
      </c>
      <c r="B130" s="10">
        <f>'Relay 9'!B11</f>
        <v>1</v>
      </c>
      <c r="G130" s="55" t="str">
        <f>'Relay 9'!$A$23</f>
        <v>Setting Status</v>
      </c>
      <c r="H130" s="84"/>
      <c r="I130" s="56">
        <f>'Relay 9'!$B$23</f>
        <v>1</v>
      </c>
    </row>
    <row r="131" spans="1:11" ht="15.75" hidden="1" customHeight="1" x14ac:dyDescent="0.2"/>
    <row r="132" spans="1:11" ht="15.75" customHeight="1" x14ac:dyDescent="0.2">
      <c r="A132" s="7" t="str">
        <f>'Relay 9'!A13</f>
        <v>Instantaneous Current</v>
      </c>
      <c r="B132" s="31">
        <f>'Relay 9'!B13</f>
        <v>0</v>
      </c>
      <c r="C132" t="str">
        <f>'Relay 9'!C13</f>
        <v>A</v>
      </c>
    </row>
    <row r="133" spans="1:11" ht="15.75" customHeight="1" x14ac:dyDescent="0.2">
      <c r="A133" s="7" t="str">
        <f>'Relay 9'!A14</f>
        <v>Min Operating Time (s)</v>
      </c>
      <c r="B133" s="31">
        <f>'Relay 9'!B14</f>
        <v>0</v>
      </c>
      <c r="C133" t="str">
        <f>'Relay 9'!C14</f>
        <v>s</v>
      </c>
    </row>
    <row r="134" spans="1:11" ht="15.75" hidden="1" customHeight="1" x14ac:dyDescent="0.2"/>
    <row r="135" spans="1:11" ht="15.75" customHeight="1" x14ac:dyDescent="0.2">
      <c r="A135" s="7" t="str">
        <f>'Relay 9'!A16</f>
        <v>Definite Time Setting</v>
      </c>
      <c r="B135" s="31">
        <f>'Relay 9'!B16</f>
        <v>0</v>
      </c>
      <c r="C135" t="str">
        <f>'Relay 9'!C16</f>
        <v>s</v>
      </c>
    </row>
    <row r="136" spans="1:11" ht="8.25" customHeight="1" thickBot="1" x14ac:dyDescent="0.25">
      <c r="A136" s="57"/>
      <c r="B136" s="57"/>
      <c r="C136" s="57"/>
      <c r="D136" s="58"/>
      <c r="E136" s="57"/>
      <c r="F136" s="57"/>
      <c r="G136" s="57"/>
      <c r="H136" s="57"/>
      <c r="I136" s="57"/>
      <c r="J136" s="57"/>
      <c r="K136" s="57"/>
    </row>
    <row r="137" spans="1:11" ht="15.75" customHeight="1" x14ac:dyDescent="0.2">
      <c r="A137" s="52" t="str">
        <f>'Relay 10'!A3</f>
        <v>Relay 10</v>
      </c>
    </row>
    <row r="138" spans="1:11" ht="15.75" customHeight="1" x14ac:dyDescent="0.2">
      <c r="A138" s="7" t="str">
        <f>'Relay 10'!A4</f>
        <v>Relay Type</v>
      </c>
      <c r="B138" s="10">
        <f>'Relay 10'!B4</f>
        <v>1</v>
      </c>
      <c r="F138" s="100" t="str">
        <f>'Relay 1'!$I$5</f>
        <v>Grading Times</v>
      </c>
      <c r="G138" s="100"/>
      <c r="H138" s="100"/>
      <c r="I138" s="100"/>
      <c r="J138" s="100"/>
      <c r="K138" s="100"/>
    </row>
    <row r="139" spans="1:11" ht="15.75" customHeight="1" x14ac:dyDescent="0.2">
      <c r="A139" s="7" t="str">
        <f>'Relay 10'!A5</f>
        <v>Operating Designation</v>
      </c>
      <c r="B139" s="53" t="str">
        <f>'Relay 10'!B5</f>
        <v>Relay 10</v>
      </c>
      <c r="F139" s="19"/>
      <c r="G139" s="19"/>
      <c r="H139" s="19"/>
      <c r="I139" s="19"/>
      <c r="J139" s="19"/>
      <c r="K139" s="19"/>
    </row>
    <row r="140" spans="1:11" ht="15.75" customHeight="1" x14ac:dyDescent="0.2">
      <c r="A140" s="7" t="str">
        <f>'Relay 10'!A6</f>
        <v>Operating Voltage</v>
      </c>
      <c r="B140" s="10">
        <f>'Relay 10'!B6</f>
        <v>11</v>
      </c>
      <c r="C140" t="str">
        <f>'Relay 10'!C6</f>
        <v>kV</v>
      </c>
      <c r="F140" s="16" t="s">
        <v>25</v>
      </c>
      <c r="G140" s="74" t="str">
        <f>'Relay 10'!$J$6</f>
        <v>Relay 10</v>
      </c>
      <c r="H140" s="74" t="s">
        <v>28</v>
      </c>
      <c r="I140" s="29">
        <f>'Relay 10'!$L$6</f>
        <v>1</v>
      </c>
      <c r="J140" s="16" t="s">
        <v>146</v>
      </c>
      <c r="K140" s="16"/>
    </row>
    <row r="141" spans="1:11" ht="15.75" customHeight="1" x14ac:dyDescent="0.2">
      <c r="A141" s="7" t="str">
        <f>'Relay 10'!A7</f>
        <v>CT Ratio</v>
      </c>
      <c r="B141" s="10">
        <f>'Relay 10'!B7</f>
        <v>400</v>
      </c>
      <c r="C141" s="1" t="str">
        <f>'Relay 10'!C7</f>
        <v>to</v>
      </c>
      <c r="D141" s="32">
        <f>'Relay 10'!D7</f>
        <v>5</v>
      </c>
      <c r="E141" s="1"/>
      <c r="F141" s="29">
        <f>'Relay 10'!$I$7</f>
        <v>1</v>
      </c>
      <c r="G141" s="28">
        <f>'Relay 10'!$J$7</f>
        <v>0</v>
      </c>
      <c r="H141" s="28"/>
      <c r="I141" s="28">
        <f>'Relay 10'!$L$7</f>
        <v>0</v>
      </c>
      <c r="J141" s="28">
        <f>'Relay 10'!N7</f>
        <v>0</v>
      </c>
      <c r="K141" s="7" t="s">
        <v>23</v>
      </c>
    </row>
    <row r="142" spans="1:11" ht="15.75" customHeight="1" x14ac:dyDescent="0.2">
      <c r="A142" s="7" t="str">
        <f>'Relay 10'!A8</f>
        <v>Primary Current Setting</v>
      </c>
      <c r="B142" s="31">
        <f>'Relay 10'!B8</f>
        <v>0</v>
      </c>
      <c r="C142" t="str">
        <f>'Relay 10'!C8</f>
        <v>A</v>
      </c>
      <c r="F142" s="10">
        <f>'Relay 10'!$I$8</f>
        <v>1</v>
      </c>
      <c r="G142" s="28">
        <f>'Relay 10'!$J$8</f>
        <v>0</v>
      </c>
      <c r="H142" s="28"/>
      <c r="I142" s="28">
        <f>'Relay 10'!$L$8</f>
        <v>0</v>
      </c>
      <c r="J142" s="28">
        <f>'Relay 10'!N8</f>
        <v>0</v>
      </c>
      <c r="K142" s="7" t="s">
        <v>23</v>
      </c>
    </row>
    <row r="143" spans="1:11" ht="15.75" customHeight="1" x14ac:dyDescent="0.2">
      <c r="A143" s="7" t="str">
        <f>'Relay 10'!A9</f>
        <v>Secondary Current Setting</v>
      </c>
      <c r="B143" s="12">
        <f>'Relay 10'!B9</f>
        <v>0</v>
      </c>
      <c r="C143" t="str">
        <f>'Relay 10'!C9</f>
        <v>A</v>
      </c>
      <c r="F143" s="10">
        <f>'Relay 10'!$I$9</f>
        <v>1</v>
      </c>
      <c r="G143" s="28">
        <f>'Relay 10'!$J$9</f>
        <v>0</v>
      </c>
      <c r="H143" s="28"/>
      <c r="I143" s="28">
        <f>'Relay 10'!$L$9</f>
        <v>0</v>
      </c>
      <c r="J143" s="28">
        <f>'Relay 10'!N9</f>
        <v>0</v>
      </c>
      <c r="K143" s="7" t="s">
        <v>23</v>
      </c>
    </row>
    <row r="144" spans="1:11" ht="15.75" customHeight="1" thickBot="1" x14ac:dyDescent="0.25">
      <c r="A144" s="7" t="str">
        <f>'Relay 10'!A10</f>
        <v>Time Multiplier (Lever)</v>
      </c>
      <c r="B144" s="31">
        <f>'Relay 10'!B10</f>
        <v>0</v>
      </c>
      <c r="F144" s="54"/>
      <c r="G144" s="54"/>
      <c r="H144" s="54"/>
      <c r="I144" s="54"/>
    </row>
    <row r="145" spans="1:9" ht="15.75" customHeight="1" thickBot="1" x14ac:dyDescent="0.25">
      <c r="A145" s="7" t="str">
        <f>'Relay 10'!A11</f>
        <v>Curve Type</v>
      </c>
      <c r="B145" s="10">
        <f>'Relay 10'!B11</f>
        <v>1</v>
      </c>
      <c r="G145" s="55" t="str">
        <f>'Relay 10'!$A$23</f>
        <v>Setting Status</v>
      </c>
      <c r="H145" s="84"/>
      <c r="I145" s="56">
        <f>'Relay 10'!$B$23</f>
        <v>1</v>
      </c>
    </row>
    <row r="146" spans="1:9" ht="15.75" hidden="1" customHeight="1" x14ac:dyDescent="0.2"/>
    <row r="147" spans="1:9" ht="15.75" customHeight="1" x14ac:dyDescent="0.2">
      <c r="A147" s="7" t="str">
        <f>'Relay 10'!A13</f>
        <v>Instantaneous Current</v>
      </c>
      <c r="B147" s="31">
        <f>'Relay 10'!B13</f>
        <v>0</v>
      </c>
      <c r="C147" t="str">
        <f>'Relay 10'!C13</f>
        <v>A</v>
      </c>
    </row>
    <row r="148" spans="1:9" ht="15.75" customHeight="1" x14ac:dyDescent="0.2">
      <c r="A148" s="7" t="str">
        <f>'Relay 10'!A14</f>
        <v>Min Operating Time (s)</v>
      </c>
      <c r="B148" s="31">
        <f>'Relay 10'!B14</f>
        <v>0</v>
      </c>
      <c r="C148" t="str">
        <f>'Relay 10'!C14</f>
        <v>s</v>
      </c>
    </row>
    <row r="149" spans="1:9" ht="15.75" hidden="1" customHeight="1" x14ac:dyDescent="0.2"/>
    <row r="150" spans="1:9" ht="15.75" customHeight="1" x14ac:dyDescent="0.2">
      <c r="A150" s="7" t="str">
        <f>'Relay 10'!A16</f>
        <v>Definite Time Setting</v>
      </c>
      <c r="B150" s="31">
        <f>'Relay 10'!B16</f>
        <v>0</v>
      </c>
      <c r="C150" t="str">
        <f>'Relay 10'!C16</f>
        <v>s</v>
      </c>
    </row>
    <row r="152" spans="1:9" ht="15.75" customHeight="1" x14ac:dyDescent="0.2">
      <c r="D152"/>
    </row>
  </sheetData>
  <mergeCells count="10">
    <mergeCell ref="F123:K123"/>
    <mergeCell ref="F138:K138"/>
    <mergeCell ref="F3:K3"/>
    <mergeCell ref="F18:K18"/>
    <mergeCell ref="F33:K33"/>
    <mergeCell ref="F48:K48"/>
    <mergeCell ref="F63:K63"/>
    <mergeCell ref="F78:K78"/>
    <mergeCell ref="F93:K93"/>
    <mergeCell ref="F108:K108"/>
  </mergeCells>
  <phoneticPr fontId="8" type="noConversion"/>
  <printOptions horizontalCentered="1"/>
  <pageMargins left="0.27559055118110237" right="0.27559055118110237" top="0.35433070866141736" bottom="0.43307086614173229" header="0.23622047244094491" footer="0.27559055118110237"/>
  <pageSetup paperSize="8" fitToHeight="0" orientation="portrait" r:id="rId1"/>
  <headerFooter alignWithMargins="0">
    <oddFooter>&amp;L&amp;F&amp;RPrinted &amp;D</oddFooter>
  </headerFooter>
  <rowBreaks count="2" manualBreakCount="2">
    <brk id="60" max="16383" man="1"/>
    <brk id="1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Relay1">
              <controlPr locked="0" defaultSize="0" autoLine="0" autoPict="0" macro="[0]!Relay1_Change">
                <anchor mov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9218" r:id="rId5" name="Curve1">
              <controlPr locked="0" defaultSize="0" autoLine="0" autoPict="0" macro="[0]!Curve1_Change">
                <anchor moveWithCells="1">
                  <from>
                    <xdr:col>1</xdr:col>
                    <xdr:colOff>0</xdr:colOff>
                    <xdr:row>9</xdr:row>
                    <xdr:rowOff>0</xdr:rowOff>
                  </from>
                  <to>
                    <xdr:col>2</xdr:col>
                    <xdr:colOff>0</xdr:colOff>
                    <xdr:row>11</xdr:row>
                    <xdr:rowOff>0</xdr:rowOff>
                  </to>
                </anchor>
              </controlPr>
            </control>
          </mc:Choice>
        </mc:AlternateContent>
        <mc:AlternateContent xmlns:mc="http://schemas.openxmlformats.org/markup-compatibility/2006">
          <mc:Choice Requires="x14">
            <control shapeId="9238" r:id="rId6" name="Downstream1">
              <controlPr defaultSize="0" autoLine="0" autoPict="0" macro="[0]!grading">
                <anchor mov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9239" r:id="rId7" name="Relay1Fault1">
              <controlPr defaultSize="0" autoLine="0" autoPict="0" macro="[0]!grading">
                <anchor mov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9240" r:id="rId8" name="Relay1Fault2">
              <controlPr defaultSize="0" autoLine="0" autoPict="0" macro="[0]!grading">
                <anchor mov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9241" r:id="rId9" name="Relay1Fault3">
              <controlPr defaultSize="0" autoLine="0" autoPict="0" macro="[0]!grading">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9242" r:id="rId10" name="Relay1">
              <controlPr locked="0" defaultSize="0" autoLine="0" autoPict="0" macro="[0]!Relay_Change">
                <anchor mov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9243" r:id="rId11" name="Curve1">
              <controlPr locked="0" defaultSize="0" autoLine="0" autoPict="0" macro="[0]!Curve_Change">
                <anchor moveWithCells="1">
                  <from>
                    <xdr:col>1</xdr:col>
                    <xdr:colOff>0</xdr:colOff>
                    <xdr:row>24</xdr:row>
                    <xdr:rowOff>0</xdr:rowOff>
                  </from>
                  <to>
                    <xdr:col>2</xdr:col>
                    <xdr:colOff>0</xdr:colOff>
                    <xdr:row>26</xdr:row>
                    <xdr:rowOff>0</xdr:rowOff>
                  </to>
                </anchor>
              </controlPr>
            </control>
          </mc:Choice>
        </mc:AlternateContent>
        <mc:AlternateContent xmlns:mc="http://schemas.openxmlformats.org/markup-compatibility/2006">
          <mc:Choice Requires="x14">
            <control shapeId="9245" r:id="rId12" name="Downstream1">
              <controlPr defaultSize="0" autoLine="0" autoPict="0" macro="[0]!grading">
                <anchor moveWithCells="1">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9246" r:id="rId13" name="Relay1Fault1">
              <controlPr defaultSize="0" autoLine="0" autoPict="0" macro="[0]!grading">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9247" r:id="rId14" name="Relay1Fault2">
              <controlPr defaultSize="0" autoLine="0" autoPict="0" macro="[0]!grading">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9248" r:id="rId15" name="Relay1Fault3">
              <controlPr defaultSize="0" autoLine="0" autoPict="0" macro="[0]!grading">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9249" r:id="rId16" name="Relay1">
              <controlPr locked="0" defaultSize="0" autoLine="0" autoPict="0" macro="[0]!Relay_Change">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9250" r:id="rId17" name="Curve1">
              <controlPr locked="0" defaultSize="0" autoLine="0" autoPict="0" macro="[0]!Curve_Change">
                <anchor moveWithCells="1">
                  <from>
                    <xdr:col>1</xdr:col>
                    <xdr:colOff>0</xdr:colOff>
                    <xdr:row>39</xdr:row>
                    <xdr:rowOff>0</xdr:rowOff>
                  </from>
                  <to>
                    <xdr:col>2</xdr:col>
                    <xdr:colOff>0</xdr:colOff>
                    <xdr:row>41</xdr:row>
                    <xdr:rowOff>0</xdr:rowOff>
                  </to>
                </anchor>
              </controlPr>
            </control>
          </mc:Choice>
        </mc:AlternateContent>
        <mc:AlternateContent xmlns:mc="http://schemas.openxmlformats.org/markup-compatibility/2006">
          <mc:Choice Requires="x14">
            <control shapeId="9252" r:id="rId18" name="Downstream1">
              <controlPr defaultSize="0" autoLine="0" autoPict="0" macro="[0]!grading">
                <anchor moveWithCells="1">
                  <from>
                    <xdr:col>8</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9253" r:id="rId19" name="Relay1Fault1">
              <controlPr defaultSize="0" autoLine="0" autoPict="0" macro="[0]!grading">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9254" r:id="rId20" name="Relay1Fault2">
              <controlPr defaultSize="0" autoLine="0" autoPict="0" macro="[0]!grading">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9255" r:id="rId21" name="Relay1Fault3">
              <controlPr defaultSize="0" autoLine="0" autoPict="0" macro="[0]!grading">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9256" r:id="rId22" name="Relay1">
              <controlPr locked="0" defaultSize="0" autoLine="0" autoPict="0" macro="[0]!Relay_Change">
                <anchor moveWithCells="1">
                  <from>
                    <xdr:col>1</xdr:col>
                    <xdr:colOff>0</xdr:colOff>
                    <xdr:row>47</xdr:row>
                    <xdr:rowOff>0</xdr:rowOff>
                  </from>
                  <to>
                    <xdr:col>2</xdr:col>
                    <xdr:colOff>0</xdr:colOff>
                    <xdr:row>48</xdr:row>
                    <xdr:rowOff>0</xdr:rowOff>
                  </to>
                </anchor>
              </controlPr>
            </control>
          </mc:Choice>
        </mc:AlternateContent>
        <mc:AlternateContent xmlns:mc="http://schemas.openxmlformats.org/markup-compatibility/2006">
          <mc:Choice Requires="x14">
            <control shapeId="9257" r:id="rId23" name="Curve1">
              <controlPr locked="0" defaultSize="0" autoLine="0" autoPict="0" macro="[0]!Curve_Change">
                <anchor moveWithCells="1">
                  <from>
                    <xdr:col>1</xdr:col>
                    <xdr:colOff>0</xdr:colOff>
                    <xdr:row>54</xdr:row>
                    <xdr:rowOff>0</xdr:rowOff>
                  </from>
                  <to>
                    <xdr:col>2</xdr:col>
                    <xdr:colOff>0</xdr:colOff>
                    <xdr:row>56</xdr:row>
                    <xdr:rowOff>0</xdr:rowOff>
                  </to>
                </anchor>
              </controlPr>
            </control>
          </mc:Choice>
        </mc:AlternateContent>
        <mc:AlternateContent xmlns:mc="http://schemas.openxmlformats.org/markup-compatibility/2006">
          <mc:Choice Requires="x14">
            <control shapeId="9259" r:id="rId24" name="Downstream1">
              <controlPr defaultSize="0" autoLine="0" autoPict="0" macro="[0]!grading">
                <anchor moveWithCells="1">
                  <from>
                    <xdr:col>8</xdr:col>
                    <xdr:colOff>0</xdr:colOff>
                    <xdr:row>49</xdr:row>
                    <xdr:rowOff>0</xdr:rowOff>
                  </from>
                  <to>
                    <xdr:col>9</xdr:col>
                    <xdr:colOff>0</xdr:colOff>
                    <xdr:row>50</xdr:row>
                    <xdr:rowOff>0</xdr:rowOff>
                  </to>
                </anchor>
              </controlPr>
            </control>
          </mc:Choice>
        </mc:AlternateContent>
        <mc:AlternateContent xmlns:mc="http://schemas.openxmlformats.org/markup-compatibility/2006">
          <mc:Choice Requires="x14">
            <control shapeId="9260" r:id="rId25" name="Relay1Fault1">
              <controlPr defaultSize="0" autoLine="0" autoPict="0" macro="[0]!grading">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9261" r:id="rId26" name="Relay1Fault2">
              <controlPr defaultSize="0" autoLine="0" autoPict="0" macro="[0]!grading">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9262" r:id="rId27" name="Relay1Fault3">
              <controlPr defaultSize="0" autoLine="0" autoPict="0" macro="[0]!grading">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9263" r:id="rId28" name="Relay1">
              <controlPr locked="0" defaultSize="0" autoLine="0" autoPict="0" macro="[0]!Relay_Change">
                <anchor moveWithCells="1">
                  <from>
                    <xdr:col>1</xdr:col>
                    <xdr:colOff>0</xdr:colOff>
                    <xdr:row>62</xdr:row>
                    <xdr:rowOff>0</xdr:rowOff>
                  </from>
                  <to>
                    <xdr:col>2</xdr:col>
                    <xdr:colOff>0</xdr:colOff>
                    <xdr:row>63</xdr:row>
                    <xdr:rowOff>0</xdr:rowOff>
                  </to>
                </anchor>
              </controlPr>
            </control>
          </mc:Choice>
        </mc:AlternateContent>
        <mc:AlternateContent xmlns:mc="http://schemas.openxmlformats.org/markup-compatibility/2006">
          <mc:Choice Requires="x14">
            <control shapeId="9264" r:id="rId29" name="Curve1">
              <controlPr locked="0" defaultSize="0" autoLine="0" autoPict="0" macro="[0]!Curve_Change">
                <anchor moveWithCells="1">
                  <from>
                    <xdr:col>1</xdr:col>
                    <xdr:colOff>0</xdr:colOff>
                    <xdr:row>69</xdr:row>
                    <xdr:rowOff>0</xdr:rowOff>
                  </from>
                  <to>
                    <xdr:col>2</xdr:col>
                    <xdr:colOff>0</xdr:colOff>
                    <xdr:row>71</xdr:row>
                    <xdr:rowOff>0</xdr:rowOff>
                  </to>
                </anchor>
              </controlPr>
            </control>
          </mc:Choice>
        </mc:AlternateContent>
        <mc:AlternateContent xmlns:mc="http://schemas.openxmlformats.org/markup-compatibility/2006">
          <mc:Choice Requires="x14">
            <control shapeId="9266" r:id="rId30" name="Downstream1">
              <controlPr defaultSize="0" autoLine="0" autoPict="0" macro="[0]!grading">
                <anchor moveWithCells="1">
                  <from>
                    <xdr:col>8</xdr:col>
                    <xdr:colOff>0</xdr:colOff>
                    <xdr:row>64</xdr:row>
                    <xdr:rowOff>0</xdr:rowOff>
                  </from>
                  <to>
                    <xdr:col>9</xdr:col>
                    <xdr:colOff>0</xdr:colOff>
                    <xdr:row>65</xdr:row>
                    <xdr:rowOff>0</xdr:rowOff>
                  </to>
                </anchor>
              </controlPr>
            </control>
          </mc:Choice>
        </mc:AlternateContent>
        <mc:AlternateContent xmlns:mc="http://schemas.openxmlformats.org/markup-compatibility/2006">
          <mc:Choice Requires="x14">
            <control shapeId="9267" r:id="rId31" name="Relay1Fault1">
              <controlPr defaultSize="0" autoLine="0" autoPict="0" macro="[0]!grading">
                <anchor moveWithCells="1">
                  <from>
                    <xdr:col>5</xdr:col>
                    <xdr:colOff>0</xdr:colOff>
                    <xdr:row>65</xdr:row>
                    <xdr:rowOff>0</xdr:rowOff>
                  </from>
                  <to>
                    <xdr:col>6</xdr:col>
                    <xdr:colOff>0</xdr:colOff>
                    <xdr:row>66</xdr:row>
                    <xdr:rowOff>0</xdr:rowOff>
                  </to>
                </anchor>
              </controlPr>
            </control>
          </mc:Choice>
        </mc:AlternateContent>
        <mc:AlternateContent xmlns:mc="http://schemas.openxmlformats.org/markup-compatibility/2006">
          <mc:Choice Requires="x14">
            <control shapeId="9268" r:id="rId32" name="Relay1Fault2">
              <controlPr defaultSize="0" autoLine="0" autoPict="0" macro="[0]!grading">
                <anchor moveWithCells="1">
                  <from>
                    <xdr:col>5</xdr:col>
                    <xdr:colOff>0</xdr:colOff>
                    <xdr:row>66</xdr:row>
                    <xdr:rowOff>0</xdr:rowOff>
                  </from>
                  <to>
                    <xdr:col>6</xdr:col>
                    <xdr:colOff>0</xdr:colOff>
                    <xdr:row>67</xdr:row>
                    <xdr:rowOff>0</xdr:rowOff>
                  </to>
                </anchor>
              </controlPr>
            </control>
          </mc:Choice>
        </mc:AlternateContent>
        <mc:AlternateContent xmlns:mc="http://schemas.openxmlformats.org/markup-compatibility/2006">
          <mc:Choice Requires="x14">
            <control shapeId="9269" r:id="rId33" name="Relay1Fault3">
              <controlPr defaultSize="0" autoLine="0" autoPict="0" macro="[0]!grading">
                <anchor moveWithCells="1">
                  <from>
                    <xdr:col>5</xdr:col>
                    <xdr:colOff>0</xdr:colOff>
                    <xdr:row>67</xdr:row>
                    <xdr:rowOff>0</xdr:rowOff>
                  </from>
                  <to>
                    <xdr:col>6</xdr:col>
                    <xdr:colOff>0</xdr:colOff>
                    <xdr:row>68</xdr:row>
                    <xdr:rowOff>0</xdr:rowOff>
                  </to>
                </anchor>
              </controlPr>
            </control>
          </mc:Choice>
        </mc:AlternateContent>
        <mc:AlternateContent xmlns:mc="http://schemas.openxmlformats.org/markup-compatibility/2006">
          <mc:Choice Requires="x14">
            <control shapeId="9270" r:id="rId34" name="Relay1">
              <controlPr locked="0" defaultSize="0" autoLine="0" autoPict="0" macro="[0]!Relay_Change">
                <anchor moveWithCells="1">
                  <from>
                    <xdr:col>1</xdr:col>
                    <xdr:colOff>0</xdr:colOff>
                    <xdr:row>77</xdr:row>
                    <xdr:rowOff>0</xdr:rowOff>
                  </from>
                  <to>
                    <xdr:col>2</xdr:col>
                    <xdr:colOff>0</xdr:colOff>
                    <xdr:row>78</xdr:row>
                    <xdr:rowOff>0</xdr:rowOff>
                  </to>
                </anchor>
              </controlPr>
            </control>
          </mc:Choice>
        </mc:AlternateContent>
        <mc:AlternateContent xmlns:mc="http://schemas.openxmlformats.org/markup-compatibility/2006">
          <mc:Choice Requires="x14">
            <control shapeId="9271" r:id="rId35" name="Curve1">
              <controlPr locked="0" defaultSize="0" autoLine="0" autoPict="0" macro="[0]!Curve_Change">
                <anchor moveWithCells="1">
                  <from>
                    <xdr:col>1</xdr:col>
                    <xdr:colOff>0</xdr:colOff>
                    <xdr:row>84</xdr:row>
                    <xdr:rowOff>0</xdr:rowOff>
                  </from>
                  <to>
                    <xdr:col>2</xdr:col>
                    <xdr:colOff>0</xdr:colOff>
                    <xdr:row>86</xdr:row>
                    <xdr:rowOff>0</xdr:rowOff>
                  </to>
                </anchor>
              </controlPr>
            </control>
          </mc:Choice>
        </mc:AlternateContent>
        <mc:AlternateContent xmlns:mc="http://schemas.openxmlformats.org/markup-compatibility/2006">
          <mc:Choice Requires="x14">
            <control shapeId="9273" r:id="rId36" name="Downstream1">
              <controlPr defaultSize="0" autoLine="0" autoPict="0" macro="[0]!grading">
                <anchor moveWithCells="1">
                  <from>
                    <xdr:col>8</xdr:col>
                    <xdr:colOff>0</xdr:colOff>
                    <xdr:row>79</xdr:row>
                    <xdr:rowOff>0</xdr:rowOff>
                  </from>
                  <to>
                    <xdr:col>9</xdr:col>
                    <xdr:colOff>0</xdr:colOff>
                    <xdr:row>80</xdr:row>
                    <xdr:rowOff>0</xdr:rowOff>
                  </to>
                </anchor>
              </controlPr>
            </control>
          </mc:Choice>
        </mc:AlternateContent>
        <mc:AlternateContent xmlns:mc="http://schemas.openxmlformats.org/markup-compatibility/2006">
          <mc:Choice Requires="x14">
            <control shapeId="9274" r:id="rId37" name="Relay1Fault1">
              <controlPr defaultSize="0" autoLine="0" autoPict="0" macro="[0]!grading">
                <anchor moveWithCells="1">
                  <from>
                    <xdr:col>5</xdr:col>
                    <xdr:colOff>0</xdr:colOff>
                    <xdr:row>80</xdr:row>
                    <xdr:rowOff>0</xdr:rowOff>
                  </from>
                  <to>
                    <xdr:col>6</xdr:col>
                    <xdr:colOff>0</xdr:colOff>
                    <xdr:row>81</xdr:row>
                    <xdr:rowOff>0</xdr:rowOff>
                  </to>
                </anchor>
              </controlPr>
            </control>
          </mc:Choice>
        </mc:AlternateContent>
        <mc:AlternateContent xmlns:mc="http://schemas.openxmlformats.org/markup-compatibility/2006">
          <mc:Choice Requires="x14">
            <control shapeId="9275" r:id="rId38" name="Relay1Fault2">
              <controlPr defaultSize="0" autoLine="0" autoPict="0" macro="[0]!grading">
                <anchor moveWithCells="1">
                  <from>
                    <xdr:col>5</xdr:col>
                    <xdr:colOff>0</xdr:colOff>
                    <xdr:row>81</xdr:row>
                    <xdr:rowOff>0</xdr:rowOff>
                  </from>
                  <to>
                    <xdr:col>6</xdr:col>
                    <xdr:colOff>0</xdr:colOff>
                    <xdr:row>82</xdr:row>
                    <xdr:rowOff>0</xdr:rowOff>
                  </to>
                </anchor>
              </controlPr>
            </control>
          </mc:Choice>
        </mc:AlternateContent>
        <mc:AlternateContent xmlns:mc="http://schemas.openxmlformats.org/markup-compatibility/2006">
          <mc:Choice Requires="x14">
            <control shapeId="9276" r:id="rId39" name="Relay1Fault3">
              <controlPr defaultSize="0" autoLine="0" autoPict="0" macro="[0]!grading">
                <anchor moveWithCells="1">
                  <from>
                    <xdr:col>5</xdr:col>
                    <xdr:colOff>0</xdr:colOff>
                    <xdr:row>82</xdr:row>
                    <xdr:rowOff>0</xdr:rowOff>
                  </from>
                  <to>
                    <xdr:col>6</xdr:col>
                    <xdr:colOff>0</xdr:colOff>
                    <xdr:row>83</xdr:row>
                    <xdr:rowOff>0</xdr:rowOff>
                  </to>
                </anchor>
              </controlPr>
            </control>
          </mc:Choice>
        </mc:AlternateContent>
        <mc:AlternateContent xmlns:mc="http://schemas.openxmlformats.org/markup-compatibility/2006">
          <mc:Choice Requires="x14">
            <control shapeId="9277" r:id="rId40" name="Relay1">
              <controlPr locked="0" defaultSize="0" autoLine="0" autoPict="0" macro="[0]!Relay_Change">
                <anchor moveWithCells="1">
                  <from>
                    <xdr:col>1</xdr:col>
                    <xdr:colOff>0</xdr:colOff>
                    <xdr:row>92</xdr:row>
                    <xdr:rowOff>0</xdr:rowOff>
                  </from>
                  <to>
                    <xdr:col>2</xdr:col>
                    <xdr:colOff>0</xdr:colOff>
                    <xdr:row>93</xdr:row>
                    <xdr:rowOff>0</xdr:rowOff>
                  </to>
                </anchor>
              </controlPr>
            </control>
          </mc:Choice>
        </mc:AlternateContent>
        <mc:AlternateContent xmlns:mc="http://schemas.openxmlformats.org/markup-compatibility/2006">
          <mc:Choice Requires="x14">
            <control shapeId="9278" r:id="rId41" name="Curve1">
              <controlPr locked="0" defaultSize="0" autoLine="0" autoPict="0" macro="[0]!Curve_Change">
                <anchor moveWithCells="1">
                  <from>
                    <xdr:col>1</xdr:col>
                    <xdr:colOff>0</xdr:colOff>
                    <xdr:row>99</xdr:row>
                    <xdr:rowOff>0</xdr:rowOff>
                  </from>
                  <to>
                    <xdr:col>2</xdr:col>
                    <xdr:colOff>0</xdr:colOff>
                    <xdr:row>101</xdr:row>
                    <xdr:rowOff>0</xdr:rowOff>
                  </to>
                </anchor>
              </controlPr>
            </control>
          </mc:Choice>
        </mc:AlternateContent>
        <mc:AlternateContent xmlns:mc="http://schemas.openxmlformats.org/markup-compatibility/2006">
          <mc:Choice Requires="x14">
            <control shapeId="9280" r:id="rId42" name="Downstream1">
              <controlPr defaultSize="0" autoLine="0" autoPict="0" macro="[0]!grading">
                <anchor moveWithCells="1">
                  <from>
                    <xdr:col>8</xdr:col>
                    <xdr:colOff>0</xdr:colOff>
                    <xdr:row>94</xdr:row>
                    <xdr:rowOff>0</xdr:rowOff>
                  </from>
                  <to>
                    <xdr:col>9</xdr:col>
                    <xdr:colOff>0</xdr:colOff>
                    <xdr:row>95</xdr:row>
                    <xdr:rowOff>0</xdr:rowOff>
                  </to>
                </anchor>
              </controlPr>
            </control>
          </mc:Choice>
        </mc:AlternateContent>
        <mc:AlternateContent xmlns:mc="http://schemas.openxmlformats.org/markup-compatibility/2006">
          <mc:Choice Requires="x14">
            <control shapeId="9281" r:id="rId43" name="Relay1Fault1">
              <controlPr defaultSize="0" autoLine="0" autoPict="0" macro="[0]!grading">
                <anchor moveWithCells="1">
                  <from>
                    <xdr:col>5</xdr:col>
                    <xdr:colOff>0</xdr:colOff>
                    <xdr:row>95</xdr:row>
                    <xdr:rowOff>0</xdr:rowOff>
                  </from>
                  <to>
                    <xdr:col>6</xdr:col>
                    <xdr:colOff>0</xdr:colOff>
                    <xdr:row>96</xdr:row>
                    <xdr:rowOff>0</xdr:rowOff>
                  </to>
                </anchor>
              </controlPr>
            </control>
          </mc:Choice>
        </mc:AlternateContent>
        <mc:AlternateContent xmlns:mc="http://schemas.openxmlformats.org/markup-compatibility/2006">
          <mc:Choice Requires="x14">
            <control shapeId="9282" r:id="rId44" name="Relay1Fault2">
              <controlPr defaultSize="0" autoLine="0" autoPict="0" macro="[0]!grading">
                <anchor moveWithCells="1">
                  <from>
                    <xdr:col>5</xdr:col>
                    <xdr:colOff>0</xdr:colOff>
                    <xdr:row>96</xdr:row>
                    <xdr:rowOff>0</xdr:rowOff>
                  </from>
                  <to>
                    <xdr:col>6</xdr:col>
                    <xdr:colOff>0</xdr:colOff>
                    <xdr:row>97</xdr:row>
                    <xdr:rowOff>0</xdr:rowOff>
                  </to>
                </anchor>
              </controlPr>
            </control>
          </mc:Choice>
        </mc:AlternateContent>
        <mc:AlternateContent xmlns:mc="http://schemas.openxmlformats.org/markup-compatibility/2006">
          <mc:Choice Requires="x14">
            <control shapeId="9283" r:id="rId45" name="Relay1Fault3">
              <controlPr defaultSize="0" autoLine="0" autoPict="0" macro="[0]!grading">
                <anchor moveWithCells="1">
                  <from>
                    <xdr:col>5</xdr:col>
                    <xdr:colOff>0</xdr:colOff>
                    <xdr:row>97</xdr:row>
                    <xdr:rowOff>0</xdr:rowOff>
                  </from>
                  <to>
                    <xdr:col>6</xdr:col>
                    <xdr:colOff>0</xdr:colOff>
                    <xdr:row>98</xdr:row>
                    <xdr:rowOff>0</xdr:rowOff>
                  </to>
                </anchor>
              </controlPr>
            </control>
          </mc:Choice>
        </mc:AlternateContent>
        <mc:AlternateContent xmlns:mc="http://schemas.openxmlformats.org/markup-compatibility/2006">
          <mc:Choice Requires="x14">
            <control shapeId="9284" r:id="rId46" name="Relay1">
              <controlPr locked="0" defaultSize="0" autoLine="0" autoPict="0" macro="[0]!Relay_Change">
                <anchor moveWithCells="1">
                  <from>
                    <xdr:col>1</xdr:col>
                    <xdr:colOff>0</xdr:colOff>
                    <xdr:row>107</xdr:row>
                    <xdr:rowOff>0</xdr:rowOff>
                  </from>
                  <to>
                    <xdr:col>2</xdr:col>
                    <xdr:colOff>0</xdr:colOff>
                    <xdr:row>108</xdr:row>
                    <xdr:rowOff>0</xdr:rowOff>
                  </to>
                </anchor>
              </controlPr>
            </control>
          </mc:Choice>
        </mc:AlternateContent>
        <mc:AlternateContent xmlns:mc="http://schemas.openxmlformats.org/markup-compatibility/2006">
          <mc:Choice Requires="x14">
            <control shapeId="9285" r:id="rId47" name="Curve1">
              <controlPr locked="0" defaultSize="0" autoLine="0" autoPict="0" macro="[0]!Curve_Change">
                <anchor moveWithCells="1">
                  <from>
                    <xdr:col>1</xdr:col>
                    <xdr:colOff>0</xdr:colOff>
                    <xdr:row>114</xdr:row>
                    <xdr:rowOff>0</xdr:rowOff>
                  </from>
                  <to>
                    <xdr:col>2</xdr:col>
                    <xdr:colOff>0</xdr:colOff>
                    <xdr:row>116</xdr:row>
                    <xdr:rowOff>0</xdr:rowOff>
                  </to>
                </anchor>
              </controlPr>
            </control>
          </mc:Choice>
        </mc:AlternateContent>
        <mc:AlternateContent xmlns:mc="http://schemas.openxmlformats.org/markup-compatibility/2006">
          <mc:Choice Requires="x14">
            <control shapeId="9287" r:id="rId48" name="Downstream1">
              <controlPr defaultSize="0" autoLine="0" autoPict="0" macro="[0]!grading">
                <anchor moveWithCells="1">
                  <from>
                    <xdr:col>8</xdr:col>
                    <xdr:colOff>0</xdr:colOff>
                    <xdr:row>109</xdr:row>
                    <xdr:rowOff>0</xdr:rowOff>
                  </from>
                  <to>
                    <xdr:col>9</xdr:col>
                    <xdr:colOff>0</xdr:colOff>
                    <xdr:row>110</xdr:row>
                    <xdr:rowOff>0</xdr:rowOff>
                  </to>
                </anchor>
              </controlPr>
            </control>
          </mc:Choice>
        </mc:AlternateContent>
        <mc:AlternateContent xmlns:mc="http://schemas.openxmlformats.org/markup-compatibility/2006">
          <mc:Choice Requires="x14">
            <control shapeId="9288" r:id="rId49" name="Relay1Fault1">
              <controlPr defaultSize="0" autoLine="0" autoPict="0" macro="[0]!grading">
                <anchor moveWithCells="1">
                  <from>
                    <xdr:col>5</xdr:col>
                    <xdr:colOff>0</xdr:colOff>
                    <xdr:row>110</xdr:row>
                    <xdr:rowOff>0</xdr:rowOff>
                  </from>
                  <to>
                    <xdr:col>6</xdr:col>
                    <xdr:colOff>0</xdr:colOff>
                    <xdr:row>111</xdr:row>
                    <xdr:rowOff>0</xdr:rowOff>
                  </to>
                </anchor>
              </controlPr>
            </control>
          </mc:Choice>
        </mc:AlternateContent>
        <mc:AlternateContent xmlns:mc="http://schemas.openxmlformats.org/markup-compatibility/2006">
          <mc:Choice Requires="x14">
            <control shapeId="9289" r:id="rId50" name="Relay1Fault2">
              <controlPr defaultSize="0" autoLine="0" autoPict="0" macro="[0]!grading">
                <anchor moveWithCells="1">
                  <from>
                    <xdr:col>5</xdr:col>
                    <xdr:colOff>0</xdr:colOff>
                    <xdr:row>111</xdr:row>
                    <xdr:rowOff>0</xdr:rowOff>
                  </from>
                  <to>
                    <xdr:col>6</xdr:col>
                    <xdr:colOff>0</xdr:colOff>
                    <xdr:row>112</xdr:row>
                    <xdr:rowOff>0</xdr:rowOff>
                  </to>
                </anchor>
              </controlPr>
            </control>
          </mc:Choice>
        </mc:AlternateContent>
        <mc:AlternateContent xmlns:mc="http://schemas.openxmlformats.org/markup-compatibility/2006">
          <mc:Choice Requires="x14">
            <control shapeId="9290" r:id="rId51" name="Relay1Fault3">
              <controlPr defaultSize="0" autoLine="0" autoPict="0" macro="[0]!grading">
                <anchor moveWithCells="1">
                  <from>
                    <xdr:col>5</xdr:col>
                    <xdr:colOff>0</xdr:colOff>
                    <xdr:row>112</xdr:row>
                    <xdr:rowOff>0</xdr:rowOff>
                  </from>
                  <to>
                    <xdr:col>6</xdr:col>
                    <xdr:colOff>0</xdr:colOff>
                    <xdr:row>113</xdr:row>
                    <xdr:rowOff>0</xdr:rowOff>
                  </to>
                </anchor>
              </controlPr>
            </control>
          </mc:Choice>
        </mc:AlternateContent>
        <mc:AlternateContent xmlns:mc="http://schemas.openxmlformats.org/markup-compatibility/2006">
          <mc:Choice Requires="x14">
            <control shapeId="9291" r:id="rId52" name="Relay1">
              <controlPr locked="0" defaultSize="0" autoLine="0" autoPict="0" macro="[0]!Relay_Change">
                <anchor moveWithCells="1">
                  <from>
                    <xdr:col>1</xdr:col>
                    <xdr:colOff>0</xdr:colOff>
                    <xdr:row>122</xdr:row>
                    <xdr:rowOff>0</xdr:rowOff>
                  </from>
                  <to>
                    <xdr:col>2</xdr:col>
                    <xdr:colOff>0</xdr:colOff>
                    <xdr:row>123</xdr:row>
                    <xdr:rowOff>0</xdr:rowOff>
                  </to>
                </anchor>
              </controlPr>
            </control>
          </mc:Choice>
        </mc:AlternateContent>
        <mc:AlternateContent xmlns:mc="http://schemas.openxmlformats.org/markup-compatibility/2006">
          <mc:Choice Requires="x14">
            <control shapeId="9292" r:id="rId53" name="Curve1">
              <controlPr locked="0" defaultSize="0" autoLine="0" autoPict="0" macro="[0]!Curve_Change">
                <anchor moveWithCells="1">
                  <from>
                    <xdr:col>1</xdr:col>
                    <xdr:colOff>0</xdr:colOff>
                    <xdr:row>129</xdr:row>
                    <xdr:rowOff>0</xdr:rowOff>
                  </from>
                  <to>
                    <xdr:col>2</xdr:col>
                    <xdr:colOff>0</xdr:colOff>
                    <xdr:row>131</xdr:row>
                    <xdr:rowOff>0</xdr:rowOff>
                  </to>
                </anchor>
              </controlPr>
            </control>
          </mc:Choice>
        </mc:AlternateContent>
        <mc:AlternateContent xmlns:mc="http://schemas.openxmlformats.org/markup-compatibility/2006">
          <mc:Choice Requires="x14">
            <control shapeId="9294" r:id="rId54" name="Downstream1">
              <controlPr defaultSize="0" autoLine="0" autoPict="0" macro="[0]!grading">
                <anchor moveWithCells="1">
                  <from>
                    <xdr:col>8</xdr:col>
                    <xdr:colOff>0</xdr:colOff>
                    <xdr:row>124</xdr:row>
                    <xdr:rowOff>0</xdr:rowOff>
                  </from>
                  <to>
                    <xdr:col>9</xdr:col>
                    <xdr:colOff>0</xdr:colOff>
                    <xdr:row>125</xdr:row>
                    <xdr:rowOff>0</xdr:rowOff>
                  </to>
                </anchor>
              </controlPr>
            </control>
          </mc:Choice>
        </mc:AlternateContent>
        <mc:AlternateContent xmlns:mc="http://schemas.openxmlformats.org/markup-compatibility/2006">
          <mc:Choice Requires="x14">
            <control shapeId="9295" r:id="rId55" name="Relay1Fault1">
              <controlPr defaultSize="0" autoLine="0" autoPict="0" macro="[0]!grading">
                <anchor moveWithCells="1">
                  <from>
                    <xdr:col>5</xdr:col>
                    <xdr:colOff>0</xdr:colOff>
                    <xdr:row>125</xdr:row>
                    <xdr:rowOff>0</xdr:rowOff>
                  </from>
                  <to>
                    <xdr:col>6</xdr:col>
                    <xdr:colOff>0</xdr:colOff>
                    <xdr:row>126</xdr:row>
                    <xdr:rowOff>0</xdr:rowOff>
                  </to>
                </anchor>
              </controlPr>
            </control>
          </mc:Choice>
        </mc:AlternateContent>
        <mc:AlternateContent xmlns:mc="http://schemas.openxmlformats.org/markup-compatibility/2006">
          <mc:Choice Requires="x14">
            <control shapeId="9296" r:id="rId56" name="Relay1Fault2">
              <controlPr defaultSize="0" autoLine="0" autoPict="0" macro="[0]!grading">
                <anchor moveWithCells="1">
                  <from>
                    <xdr:col>5</xdr:col>
                    <xdr:colOff>0</xdr:colOff>
                    <xdr:row>126</xdr:row>
                    <xdr:rowOff>0</xdr:rowOff>
                  </from>
                  <to>
                    <xdr:col>6</xdr:col>
                    <xdr:colOff>0</xdr:colOff>
                    <xdr:row>127</xdr:row>
                    <xdr:rowOff>0</xdr:rowOff>
                  </to>
                </anchor>
              </controlPr>
            </control>
          </mc:Choice>
        </mc:AlternateContent>
        <mc:AlternateContent xmlns:mc="http://schemas.openxmlformats.org/markup-compatibility/2006">
          <mc:Choice Requires="x14">
            <control shapeId="9297" r:id="rId57" name="Relay1Fault3">
              <controlPr defaultSize="0" autoLine="0" autoPict="0" macro="[0]!grading">
                <anchor moveWithCells="1">
                  <from>
                    <xdr:col>5</xdr:col>
                    <xdr:colOff>0</xdr:colOff>
                    <xdr:row>127</xdr:row>
                    <xdr:rowOff>0</xdr:rowOff>
                  </from>
                  <to>
                    <xdr:col>6</xdr:col>
                    <xdr:colOff>0</xdr:colOff>
                    <xdr:row>128</xdr:row>
                    <xdr:rowOff>0</xdr:rowOff>
                  </to>
                </anchor>
              </controlPr>
            </control>
          </mc:Choice>
        </mc:AlternateContent>
        <mc:AlternateContent xmlns:mc="http://schemas.openxmlformats.org/markup-compatibility/2006">
          <mc:Choice Requires="x14">
            <control shapeId="9298" r:id="rId58" name="Relay1">
              <controlPr locked="0" defaultSize="0" autoLine="0" autoPict="0" macro="[0]!Relay_Change">
                <anchor moveWithCells="1">
                  <from>
                    <xdr:col>1</xdr:col>
                    <xdr:colOff>0</xdr:colOff>
                    <xdr:row>137</xdr:row>
                    <xdr:rowOff>0</xdr:rowOff>
                  </from>
                  <to>
                    <xdr:col>2</xdr:col>
                    <xdr:colOff>0</xdr:colOff>
                    <xdr:row>138</xdr:row>
                    <xdr:rowOff>0</xdr:rowOff>
                  </to>
                </anchor>
              </controlPr>
            </control>
          </mc:Choice>
        </mc:AlternateContent>
        <mc:AlternateContent xmlns:mc="http://schemas.openxmlformats.org/markup-compatibility/2006">
          <mc:Choice Requires="x14">
            <control shapeId="9299" r:id="rId59" name="Curve1">
              <controlPr locked="0" defaultSize="0" autoLine="0" autoPict="0" macro="[0]!Curve_Change">
                <anchor moveWithCells="1">
                  <from>
                    <xdr:col>1</xdr:col>
                    <xdr:colOff>0</xdr:colOff>
                    <xdr:row>144</xdr:row>
                    <xdr:rowOff>0</xdr:rowOff>
                  </from>
                  <to>
                    <xdr:col>2</xdr:col>
                    <xdr:colOff>0</xdr:colOff>
                    <xdr:row>146</xdr:row>
                    <xdr:rowOff>0</xdr:rowOff>
                  </to>
                </anchor>
              </controlPr>
            </control>
          </mc:Choice>
        </mc:AlternateContent>
        <mc:AlternateContent xmlns:mc="http://schemas.openxmlformats.org/markup-compatibility/2006">
          <mc:Choice Requires="x14">
            <control shapeId="9301" r:id="rId60" name="Downstream1">
              <controlPr defaultSize="0" autoLine="0" autoPict="0" macro="[0]!grading">
                <anchor moveWithCells="1">
                  <from>
                    <xdr:col>8</xdr:col>
                    <xdr:colOff>0</xdr:colOff>
                    <xdr:row>139</xdr:row>
                    <xdr:rowOff>0</xdr:rowOff>
                  </from>
                  <to>
                    <xdr:col>9</xdr:col>
                    <xdr:colOff>0</xdr:colOff>
                    <xdr:row>140</xdr:row>
                    <xdr:rowOff>0</xdr:rowOff>
                  </to>
                </anchor>
              </controlPr>
            </control>
          </mc:Choice>
        </mc:AlternateContent>
        <mc:AlternateContent xmlns:mc="http://schemas.openxmlformats.org/markup-compatibility/2006">
          <mc:Choice Requires="x14">
            <control shapeId="9302" r:id="rId61" name="Relay1Fault1">
              <controlPr defaultSize="0" autoLine="0" autoPict="0" macro="[0]!grading">
                <anchor moveWithCells="1">
                  <from>
                    <xdr:col>5</xdr:col>
                    <xdr:colOff>0</xdr:colOff>
                    <xdr:row>140</xdr:row>
                    <xdr:rowOff>0</xdr:rowOff>
                  </from>
                  <to>
                    <xdr:col>6</xdr:col>
                    <xdr:colOff>0</xdr:colOff>
                    <xdr:row>141</xdr:row>
                    <xdr:rowOff>0</xdr:rowOff>
                  </to>
                </anchor>
              </controlPr>
            </control>
          </mc:Choice>
        </mc:AlternateContent>
        <mc:AlternateContent xmlns:mc="http://schemas.openxmlformats.org/markup-compatibility/2006">
          <mc:Choice Requires="x14">
            <control shapeId="9303" r:id="rId62" name="Relay1Fault2">
              <controlPr defaultSize="0" autoLine="0" autoPict="0" macro="[0]!grading">
                <anchor moveWithCells="1">
                  <from>
                    <xdr:col>5</xdr:col>
                    <xdr:colOff>0</xdr:colOff>
                    <xdr:row>141</xdr:row>
                    <xdr:rowOff>0</xdr:rowOff>
                  </from>
                  <to>
                    <xdr:col>6</xdr:col>
                    <xdr:colOff>0</xdr:colOff>
                    <xdr:row>142</xdr:row>
                    <xdr:rowOff>0</xdr:rowOff>
                  </to>
                </anchor>
              </controlPr>
            </control>
          </mc:Choice>
        </mc:AlternateContent>
        <mc:AlternateContent xmlns:mc="http://schemas.openxmlformats.org/markup-compatibility/2006">
          <mc:Choice Requires="x14">
            <control shapeId="9304" r:id="rId63" name="Relay1Fault3">
              <controlPr defaultSize="0" autoLine="0" autoPict="0" macro="[0]!grading">
                <anchor moveWithCells="1">
                  <from>
                    <xdr:col>5</xdr:col>
                    <xdr:colOff>0</xdr:colOff>
                    <xdr:row>142</xdr:row>
                    <xdr:rowOff>0</xdr:rowOff>
                  </from>
                  <to>
                    <xdr:col>6</xdr:col>
                    <xdr:colOff>0</xdr:colOff>
                    <xdr:row>143</xdr:row>
                    <xdr:rowOff>0</xdr:rowOff>
                  </to>
                </anchor>
              </controlPr>
            </control>
          </mc:Choice>
        </mc:AlternateContent>
        <mc:AlternateContent xmlns:mc="http://schemas.openxmlformats.org/markup-compatibility/2006">
          <mc:Choice Requires="x14">
            <control shapeId="9305" r:id="rId64" name="Curve1">
              <controlPr locked="0" defaultSize="0" autoLine="0" autoPict="0" macro="[0]!LegendUpdate">
                <anchor moveWithCells="1">
                  <from>
                    <xdr:col>8</xdr:col>
                    <xdr:colOff>0</xdr:colOff>
                    <xdr:row>9</xdr:row>
                    <xdr:rowOff>0</xdr:rowOff>
                  </from>
                  <to>
                    <xdr:col>9</xdr:col>
                    <xdr:colOff>0</xdr:colOff>
                    <xdr:row>11</xdr:row>
                    <xdr:rowOff>0</xdr:rowOff>
                  </to>
                </anchor>
              </controlPr>
            </control>
          </mc:Choice>
        </mc:AlternateContent>
        <mc:AlternateContent xmlns:mc="http://schemas.openxmlformats.org/markup-compatibility/2006">
          <mc:Choice Requires="x14">
            <control shapeId="9306" r:id="rId65" name="Curve1">
              <controlPr locked="0" defaultSize="0" autoLine="0" autoPict="0" macro="[0]!LegendUpdate">
                <anchor moveWithCells="1">
                  <from>
                    <xdr:col>8</xdr:col>
                    <xdr:colOff>0</xdr:colOff>
                    <xdr:row>24</xdr:row>
                    <xdr:rowOff>0</xdr:rowOff>
                  </from>
                  <to>
                    <xdr:col>9</xdr:col>
                    <xdr:colOff>0</xdr:colOff>
                    <xdr:row>26</xdr:row>
                    <xdr:rowOff>0</xdr:rowOff>
                  </to>
                </anchor>
              </controlPr>
            </control>
          </mc:Choice>
        </mc:AlternateContent>
        <mc:AlternateContent xmlns:mc="http://schemas.openxmlformats.org/markup-compatibility/2006">
          <mc:Choice Requires="x14">
            <control shapeId="9307" r:id="rId66" name="Curve1">
              <controlPr locked="0" defaultSize="0" autoLine="0" autoPict="0" macro="[0]!LegendUpdate">
                <anchor moveWithCells="1">
                  <from>
                    <xdr:col>8</xdr:col>
                    <xdr:colOff>0</xdr:colOff>
                    <xdr:row>39</xdr:row>
                    <xdr:rowOff>0</xdr:rowOff>
                  </from>
                  <to>
                    <xdr:col>9</xdr:col>
                    <xdr:colOff>0</xdr:colOff>
                    <xdr:row>41</xdr:row>
                    <xdr:rowOff>0</xdr:rowOff>
                  </to>
                </anchor>
              </controlPr>
            </control>
          </mc:Choice>
        </mc:AlternateContent>
        <mc:AlternateContent xmlns:mc="http://schemas.openxmlformats.org/markup-compatibility/2006">
          <mc:Choice Requires="x14">
            <control shapeId="9308" r:id="rId67" name="Curve1">
              <controlPr locked="0" defaultSize="0" autoLine="0" autoPict="0" macro="[0]!LegendUpdate">
                <anchor moveWithCells="1">
                  <from>
                    <xdr:col>8</xdr:col>
                    <xdr:colOff>0</xdr:colOff>
                    <xdr:row>54</xdr:row>
                    <xdr:rowOff>0</xdr:rowOff>
                  </from>
                  <to>
                    <xdr:col>9</xdr:col>
                    <xdr:colOff>0</xdr:colOff>
                    <xdr:row>56</xdr:row>
                    <xdr:rowOff>0</xdr:rowOff>
                  </to>
                </anchor>
              </controlPr>
            </control>
          </mc:Choice>
        </mc:AlternateContent>
        <mc:AlternateContent xmlns:mc="http://schemas.openxmlformats.org/markup-compatibility/2006">
          <mc:Choice Requires="x14">
            <control shapeId="9309" r:id="rId68" name="Curve1">
              <controlPr locked="0" defaultSize="0" autoLine="0" autoPict="0" macro="[0]!LegendUpdate">
                <anchor moveWithCells="1">
                  <from>
                    <xdr:col>8</xdr:col>
                    <xdr:colOff>0</xdr:colOff>
                    <xdr:row>69</xdr:row>
                    <xdr:rowOff>0</xdr:rowOff>
                  </from>
                  <to>
                    <xdr:col>9</xdr:col>
                    <xdr:colOff>0</xdr:colOff>
                    <xdr:row>71</xdr:row>
                    <xdr:rowOff>0</xdr:rowOff>
                  </to>
                </anchor>
              </controlPr>
            </control>
          </mc:Choice>
        </mc:AlternateContent>
        <mc:AlternateContent xmlns:mc="http://schemas.openxmlformats.org/markup-compatibility/2006">
          <mc:Choice Requires="x14">
            <control shapeId="9310" r:id="rId69" name="Curve1">
              <controlPr locked="0" defaultSize="0" autoLine="0" autoPict="0" macro="[0]!LegendUpdate">
                <anchor moveWithCells="1">
                  <from>
                    <xdr:col>8</xdr:col>
                    <xdr:colOff>0</xdr:colOff>
                    <xdr:row>99</xdr:row>
                    <xdr:rowOff>0</xdr:rowOff>
                  </from>
                  <to>
                    <xdr:col>9</xdr:col>
                    <xdr:colOff>0</xdr:colOff>
                    <xdr:row>101</xdr:row>
                    <xdr:rowOff>0</xdr:rowOff>
                  </to>
                </anchor>
              </controlPr>
            </control>
          </mc:Choice>
        </mc:AlternateContent>
        <mc:AlternateContent xmlns:mc="http://schemas.openxmlformats.org/markup-compatibility/2006">
          <mc:Choice Requires="x14">
            <control shapeId="9311" r:id="rId70" name="Curve1">
              <controlPr locked="0" defaultSize="0" autoLine="0" autoPict="0" macro="[0]!LegendUpdate">
                <anchor moveWithCells="1">
                  <from>
                    <xdr:col>8</xdr:col>
                    <xdr:colOff>0</xdr:colOff>
                    <xdr:row>129</xdr:row>
                    <xdr:rowOff>0</xdr:rowOff>
                  </from>
                  <to>
                    <xdr:col>9</xdr:col>
                    <xdr:colOff>0</xdr:colOff>
                    <xdr:row>131</xdr:row>
                    <xdr:rowOff>0</xdr:rowOff>
                  </to>
                </anchor>
              </controlPr>
            </control>
          </mc:Choice>
        </mc:AlternateContent>
        <mc:AlternateContent xmlns:mc="http://schemas.openxmlformats.org/markup-compatibility/2006">
          <mc:Choice Requires="x14">
            <control shapeId="9312" r:id="rId71" name="Curve1">
              <controlPr locked="0" defaultSize="0" autoLine="0" autoPict="0" macro="[0]!LegendUpdate">
                <anchor moveWithCells="1">
                  <from>
                    <xdr:col>8</xdr:col>
                    <xdr:colOff>0</xdr:colOff>
                    <xdr:row>144</xdr:row>
                    <xdr:rowOff>0</xdr:rowOff>
                  </from>
                  <to>
                    <xdr:col>9</xdr:col>
                    <xdr:colOff>0</xdr:colOff>
                    <xdr:row>146</xdr:row>
                    <xdr:rowOff>0</xdr:rowOff>
                  </to>
                </anchor>
              </controlPr>
            </control>
          </mc:Choice>
        </mc:AlternateContent>
        <mc:AlternateContent xmlns:mc="http://schemas.openxmlformats.org/markup-compatibility/2006">
          <mc:Choice Requires="x14">
            <control shapeId="9313" r:id="rId72" name="Curve1">
              <controlPr locked="0" defaultSize="0" autoLine="0" autoPict="0" macro="[0]!LegendUpdate">
                <anchor moveWithCells="1">
                  <from>
                    <xdr:col>8</xdr:col>
                    <xdr:colOff>0</xdr:colOff>
                    <xdr:row>24</xdr:row>
                    <xdr:rowOff>0</xdr:rowOff>
                  </from>
                  <to>
                    <xdr:col>9</xdr:col>
                    <xdr:colOff>0</xdr:colOff>
                    <xdr:row>26</xdr:row>
                    <xdr:rowOff>0</xdr:rowOff>
                  </to>
                </anchor>
              </controlPr>
            </control>
          </mc:Choice>
        </mc:AlternateContent>
        <mc:AlternateContent xmlns:mc="http://schemas.openxmlformats.org/markup-compatibility/2006">
          <mc:Choice Requires="x14">
            <control shapeId="9314" r:id="rId73" name="Curve1">
              <controlPr locked="0" defaultSize="0" autoLine="0" autoPict="0" macro="[0]!LegendUpdate">
                <anchor moveWithCells="1">
                  <from>
                    <xdr:col>8</xdr:col>
                    <xdr:colOff>0</xdr:colOff>
                    <xdr:row>39</xdr:row>
                    <xdr:rowOff>0</xdr:rowOff>
                  </from>
                  <to>
                    <xdr:col>9</xdr:col>
                    <xdr:colOff>0</xdr:colOff>
                    <xdr:row>41</xdr:row>
                    <xdr:rowOff>0</xdr:rowOff>
                  </to>
                </anchor>
              </controlPr>
            </control>
          </mc:Choice>
        </mc:AlternateContent>
        <mc:AlternateContent xmlns:mc="http://schemas.openxmlformats.org/markup-compatibility/2006">
          <mc:Choice Requires="x14">
            <control shapeId="9315" r:id="rId74" name="Curve1">
              <controlPr locked="0" defaultSize="0" autoLine="0" autoPict="0" macro="[0]!LegendUpdate">
                <anchor moveWithCells="1">
                  <from>
                    <xdr:col>8</xdr:col>
                    <xdr:colOff>0</xdr:colOff>
                    <xdr:row>54</xdr:row>
                    <xdr:rowOff>0</xdr:rowOff>
                  </from>
                  <to>
                    <xdr:col>9</xdr:col>
                    <xdr:colOff>0</xdr:colOff>
                    <xdr:row>56</xdr:row>
                    <xdr:rowOff>0</xdr:rowOff>
                  </to>
                </anchor>
              </controlPr>
            </control>
          </mc:Choice>
        </mc:AlternateContent>
        <mc:AlternateContent xmlns:mc="http://schemas.openxmlformats.org/markup-compatibility/2006">
          <mc:Choice Requires="x14">
            <control shapeId="9316" r:id="rId75" name="Curve1">
              <controlPr locked="0" defaultSize="0" autoLine="0" autoPict="0" macro="[0]!LegendUpdate">
                <anchor moveWithCells="1">
                  <from>
                    <xdr:col>8</xdr:col>
                    <xdr:colOff>0</xdr:colOff>
                    <xdr:row>69</xdr:row>
                    <xdr:rowOff>0</xdr:rowOff>
                  </from>
                  <to>
                    <xdr:col>9</xdr:col>
                    <xdr:colOff>0</xdr:colOff>
                    <xdr:row>71</xdr:row>
                    <xdr:rowOff>0</xdr:rowOff>
                  </to>
                </anchor>
              </controlPr>
            </control>
          </mc:Choice>
        </mc:AlternateContent>
        <mc:AlternateContent xmlns:mc="http://schemas.openxmlformats.org/markup-compatibility/2006">
          <mc:Choice Requires="x14">
            <control shapeId="9317" r:id="rId76" name="Curve1">
              <controlPr locked="0" defaultSize="0" autoLine="0" autoPict="0" macro="[0]!LegendUpdate">
                <anchor moveWithCells="1">
                  <from>
                    <xdr:col>8</xdr:col>
                    <xdr:colOff>0</xdr:colOff>
                    <xdr:row>84</xdr:row>
                    <xdr:rowOff>0</xdr:rowOff>
                  </from>
                  <to>
                    <xdr:col>9</xdr:col>
                    <xdr:colOff>0</xdr:colOff>
                    <xdr:row>86</xdr:row>
                    <xdr:rowOff>0</xdr:rowOff>
                  </to>
                </anchor>
              </controlPr>
            </control>
          </mc:Choice>
        </mc:AlternateContent>
        <mc:AlternateContent xmlns:mc="http://schemas.openxmlformats.org/markup-compatibility/2006">
          <mc:Choice Requires="x14">
            <control shapeId="9318" r:id="rId77" name="Curve1">
              <controlPr locked="0" defaultSize="0" autoLine="0" autoPict="0" macro="[0]!LegendUpdate">
                <anchor moveWithCells="1">
                  <from>
                    <xdr:col>8</xdr:col>
                    <xdr:colOff>0</xdr:colOff>
                    <xdr:row>99</xdr:row>
                    <xdr:rowOff>0</xdr:rowOff>
                  </from>
                  <to>
                    <xdr:col>9</xdr:col>
                    <xdr:colOff>0</xdr:colOff>
                    <xdr:row>101</xdr:row>
                    <xdr:rowOff>0</xdr:rowOff>
                  </to>
                </anchor>
              </controlPr>
            </control>
          </mc:Choice>
        </mc:AlternateContent>
        <mc:AlternateContent xmlns:mc="http://schemas.openxmlformats.org/markup-compatibility/2006">
          <mc:Choice Requires="x14">
            <control shapeId="9319" r:id="rId78" name="Curve1">
              <controlPr locked="0" defaultSize="0" autoLine="0" autoPict="0" macro="[0]!LegendUpdate">
                <anchor moveWithCells="1">
                  <from>
                    <xdr:col>8</xdr:col>
                    <xdr:colOff>0</xdr:colOff>
                    <xdr:row>114</xdr:row>
                    <xdr:rowOff>0</xdr:rowOff>
                  </from>
                  <to>
                    <xdr:col>9</xdr:col>
                    <xdr:colOff>0</xdr:colOff>
                    <xdr:row>116</xdr:row>
                    <xdr:rowOff>0</xdr:rowOff>
                  </to>
                </anchor>
              </controlPr>
            </control>
          </mc:Choice>
        </mc:AlternateContent>
        <mc:AlternateContent xmlns:mc="http://schemas.openxmlformats.org/markup-compatibility/2006">
          <mc:Choice Requires="x14">
            <control shapeId="9320" r:id="rId79" name="Curve1">
              <controlPr locked="0" defaultSize="0" autoLine="0" autoPict="0" macro="[0]!LegendUpdate">
                <anchor moveWithCells="1">
                  <from>
                    <xdr:col>8</xdr:col>
                    <xdr:colOff>0</xdr:colOff>
                    <xdr:row>129</xdr:row>
                    <xdr:rowOff>0</xdr:rowOff>
                  </from>
                  <to>
                    <xdr:col>9</xdr:col>
                    <xdr:colOff>0</xdr:colOff>
                    <xdr:row>131</xdr:row>
                    <xdr:rowOff>0</xdr:rowOff>
                  </to>
                </anchor>
              </controlPr>
            </control>
          </mc:Choice>
        </mc:AlternateContent>
        <mc:AlternateContent xmlns:mc="http://schemas.openxmlformats.org/markup-compatibility/2006">
          <mc:Choice Requires="x14">
            <control shapeId="9321" r:id="rId80" name="Curve1">
              <controlPr locked="0" defaultSize="0" autoLine="0" autoPict="0" macro="[0]!LegendUpdate">
                <anchor moveWithCells="1">
                  <from>
                    <xdr:col>8</xdr:col>
                    <xdr:colOff>0</xdr:colOff>
                    <xdr:row>144</xdr:row>
                    <xdr:rowOff>0</xdr:rowOff>
                  </from>
                  <to>
                    <xdr:col>9</xdr:col>
                    <xdr:colOff>0</xdr:colOff>
                    <xdr:row>146</xdr:row>
                    <xdr:rowOff>0</xdr:rowOff>
                  </to>
                </anchor>
              </controlPr>
            </control>
          </mc:Choice>
        </mc:AlternateContent>
        <mc:AlternateContent xmlns:mc="http://schemas.openxmlformats.org/markup-compatibility/2006">
          <mc:Choice Requires="x14">
            <control shapeId="9323" r:id="rId81" name="Relay1Fault1">
              <controlPr defaultSize="0" autoLine="0" autoPict="0" macro="[0]!grading">
                <anchor moveWithCells="1">
                  <from>
                    <xdr:col>7</xdr:col>
                    <xdr:colOff>0</xdr:colOff>
                    <xdr:row>5</xdr:row>
                    <xdr:rowOff>0</xdr:rowOff>
                  </from>
                  <to>
                    <xdr:col>8</xdr:col>
                    <xdr:colOff>0</xdr:colOff>
                    <xdr:row>6</xdr:row>
                    <xdr:rowOff>0</xdr:rowOff>
                  </to>
                </anchor>
              </controlPr>
            </control>
          </mc:Choice>
        </mc:AlternateContent>
        <mc:AlternateContent xmlns:mc="http://schemas.openxmlformats.org/markup-compatibility/2006">
          <mc:Choice Requires="x14">
            <control shapeId="9324" r:id="rId82" name="Relay1Fault1">
              <controlPr defaultSize="0" autoLine="0" autoPict="0" macro="[0]!grading">
                <anchor moveWithCells="1">
                  <from>
                    <xdr:col>7</xdr:col>
                    <xdr:colOff>0</xdr:colOff>
                    <xdr:row>6</xdr:row>
                    <xdr:rowOff>0</xdr:rowOff>
                  </from>
                  <to>
                    <xdr:col>8</xdr:col>
                    <xdr:colOff>0</xdr:colOff>
                    <xdr:row>7</xdr:row>
                    <xdr:rowOff>0</xdr:rowOff>
                  </to>
                </anchor>
              </controlPr>
            </control>
          </mc:Choice>
        </mc:AlternateContent>
        <mc:AlternateContent xmlns:mc="http://schemas.openxmlformats.org/markup-compatibility/2006">
          <mc:Choice Requires="x14">
            <control shapeId="9325" r:id="rId83" name="Relay1Fault1">
              <controlPr defaultSize="0" autoLine="0" autoPict="0" macro="[0]!grading">
                <anchor mov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9326" r:id="rId84" name="Relay1Fault1">
              <controlPr defaultSize="0" autoLine="0" autoPict="0" macro="[0]!grading">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9327" r:id="rId85" name="Relay1Fault1">
              <controlPr defaultSize="0" autoLine="0" autoPict="0" macro="[0]!grading">
                <anchor moveWithCells="1">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9328" r:id="rId86" name="Relay1Fault1">
              <controlPr defaultSize="0" autoLine="0" autoPict="0" macro="[0]!grading">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9329" r:id="rId87" name="Relay1Fault1">
              <controlPr defaultSize="0" autoLine="0" autoPict="0" macro="[0]!grading">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9330" r:id="rId88" name="Relay1Fault1">
              <controlPr defaultSize="0" autoLine="0" autoPict="0" macro="[0]!grading">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9331" r:id="rId89" name="Relay1Fault1">
              <controlPr defaultSize="0" autoLine="0" autoPict="0" macro="[0]!grading">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9332" r:id="rId90" name="Relay1Fault1">
              <controlPr defaultSize="0" autoLine="0" autoPict="0" macro="[0]!grading">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9333" r:id="rId91" name="Relay1Fault1">
              <controlPr defaultSize="0" autoLine="0" autoPict="0" macro="[0]!grading">
                <anchor moveWithCells="1">
                  <from>
                    <xdr:col>7</xdr:col>
                    <xdr:colOff>0</xdr:colOff>
                    <xdr:row>51</xdr:row>
                    <xdr:rowOff>0</xdr:rowOff>
                  </from>
                  <to>
                    <xdr:col>8</xdr:col>
                    <xdr:colOff>0</xdr:colOff>
                    <xdr:row>52</xdr:row>
                    <xdr:rowOff>0</xdr:rowOff>
                  </to>
                </anchor>
              </controlPr>
            </control>
          </mc:Choice>
        </mc:AlternateContent>
        <mc:AlternateContent xmlns:mc="http://schemas.openxmlformats.org/markup-compatibility/2006">
          <mc:Choice Requires="x14">
            <control shapeId="9334" r:id="rId92" name="Relay1Fault1">
              <controlPr defaultSize="0" autoLine="0" autoPict="0" macro="[0]!grading">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9335" r:id="rId93" name="Relay1Fault1">
              <controlPr defaultSize="0" autoLine="0" autoPict="0" macro="[0]!grading">
                <anchor moveWithCells="1">
                  <from>
                    <xdr:col>7</xdr:col>
                    <xdr:colOff>0</xdr:colOff>
                    <xdr:row>65</xdr:row>
                    <xdr:rowOff>0</xdr:rowOff>
                  </from>
                  <to>
                    <xdr:col>8</xdr:col>
                    <xdr:colOff>0</xdr:colOff>
                    <xdr:row>66</xdr:row>
                    <xdr:rowOff>0</xdr:rowOff>
                  </to>
                </anchor>
              </controlPr>
            </control>
          </mc:Choice>
        </mc:AlternateContent>
        <mc:AlternateContent xmlns:mc="http://schemas.openxmlformats.org/markup-compatibility/2006">
          <mc:Choice Requires="x14">
            <control shapeId="9336" r:id="rId94" name="Relay1Fault1">
              <controlPr defaultSize="0" autoLine="0" autoPict="0" macro="[0]!grading">
                <anchor moveWithCells="1">
                  <from>
                    <xdr:col>7</xdr:col>
                    <xdr:colOff>0</xdr:colOff>
                    <xdr:row>66</xdr:row>
                    <xdr:rowOff>0</xdr:rowOff>
                  </from>
                  <to>
                    <xdr:col>8</xdr:col>
                    <xdr:colOff>0</xdr:colOff>
                    <xdr:row>67</xdr:row>
                    <xdr:rowOff>0</xdr:rowOff>
                  </to>
                </anchor>
              </controlPr>
            </control>
          </mc:Choice>
        </mc:AlternateContent>
        <mc:AlternateContent xmlns:mc="http://schemas.openxmlformats.org/markup-compatibility/2006">
          <mc:Choice Requires="x14">
            <control shapeId="9337" r:id="rId95" name="Relay1Fault1">
              <controlPr defaultSize="0" autoLine="0" autoPict="0" macro="[0]!grading">
                <anchor moveWithCells="1">
                  <from>
                    <xdr:col>7</xdr:col>
                    <xdr:colOff>0</xdr:colOff>
                    <xdr:row>67</xdr:row>
                    <xdr:rowOff>0</xdr:rowOff>
                  </from>
                  <to>
                    <xdr:col>8</xdr:col>
                    <xdr:colOff>0</xdr:colOff>
                    <xdr:row>68</xdr:row>
                    <xdr:rowOff>0</xdr:rowOff>
                  </to>
                </anchor>
              </controlPr>
            </control>
          </mc:Choice>
        </mc:AlternateContent>
        <mc:AlternateContent xmlns:mc="http://schemas.openxmlformats.org/markup-compatibility/2006">
          <mc:Choice Requires="x14">
            <control shapeId="9338" r:id="rId96" name="Relay1Fault1">
              <controlPr defaultSize="0" autoLine="0" autoPict="0" macro="[0]!grading">
                <anchor moveWithCells="1">
                  <from>
                    <xdr:col>7</xdr:col>
                    <xdr:colOff>0</xdr:colOff>
                    <xdr:row>80</xdr:row>
                    <xdr:rowOff>9525</xdr:rowOff>
                  </from>
                  <to>
                    <xdr:col>8</xdr:col>
                    <xdr:colOff>0</xdr:colOff>
                    <xdr:row>81</xdr:row>
                    <xdr:rowOff>9525</xdr:rowOff>
                  </to>
                </anchor>
              </controlPr>
            </control>
          </mc:Choice>
        </mc:AlternateContent>
        <mc:AlternateContent xmlns:mc="http://schemas.openxmlformats.org/markup-compatibility/2006">
          <mc:Choice Requires="x14">
            <control shapeId="9339" r:id="rId97" name="Relay1Fault1">
              <controlPr defaultSize="0" autoLine="0" autoPict="0" macro="[0]!grading">
                <anchor moveWithCells="1">
                  <from>
                    <xdr:col>7</xdr:col>
                    <xdr:colOff>0</xdr:colOff>
                    <xdr:row>80</xdr:row>
                    <xdr:rowOff>0</xdr:rowOff>
                  </from>
                  <to>
                    <xdr:col>8</xdr:col>
                    <xdr:colOff>0</xdr:colOff>
                    <xdr:row>81</xdr:row>
                    <xdr:rowOff>0</xdr:rowOff>
                  </to>
                </anchor>
              </controlPr>
            </control>
          </mc:Choice>
        </mc:AlternateContent>
        <mc:AlternateContent xmlns:mc="http://schemas.openxmlformats.org/markup-compatibility/2006">
          <mc:Choice Requires="x14">
            <control shapeId="9340" r:id="rId98" name="Relay1Fault1">
              <controlPr defaultSize="0" autoLine="0" autoPict="0" macro="[0]!grading">
                <anchor moveWithCells="1">
                  <from>
                    <xdr:col>7</xdr:col>
                    <xdr:colOff>0</xdr:colOff>
                    <xdr:row>81</xdr:row>
                    <xdr:rowOff>0</xdr:rowOff>
                  </from>
                  <to>
                    <xdr:col>8</xdr:col>
                    <xdr:colOff>0</xdr:colOff>
                    <xdr:row>82</xdr:row>
                    <xdr:rowOff>0</xdr:rowOff>
                  </to>
                </anchor>
              </controlPr>
            </control>
          </mc:Choice>
        </mc:AlternateContent>
        <mc:AlternateContent xmlns:mc="http://schemas.openxmlformats.org/markup-compatibility/2006">
          <mc:Choice Requires="x14">
            <control shapeId="9341" r:id="rId99" name="Relay1Fault1">
              <controlPr defaultSize="0" autoLine="0" autoPict="0" macro="[0]!grading">
                <anchor moveWithCells="1">
                  <from>
                    <xdr:col>7</xdr:col>
                    <xdr:colOff>0</xdr:colOff>
                    <xdr:row>82</xdr:row>
                    <xdr:rowOff>0</xdr:rowOff>
                  </from>
                  <to>
                    <xdr:col>8</xdr:col>
                    <xdr:colOff>0</xdr:colOff>
                    <xdr:row>83</xdr:row>
                    <xdr:rowOff>0</xdr:rowOff>
                  </to>
                </anchor>
              </controlPr>
            </control>
          </mc:Choice>
        </mc:AlternateContent>
        <mc:AlternateContent xmlns:mc="http://schemas.openxmlformats.org/markup-compatibility/2006">
          <mc:Choice Requires="x14">
            <control shapeId="9342" r:id="rId100" name="Relay1Fault1">
              <controlPr defaultSize="0" autoLine="0" autoPict="0" macro="[0]!grading">
                <anchor moveWithCells="1">
                  <from>
                    <xdr:col>7</xdr:col>
                    <xdr:colOff>0</xdr:colOff>
                    <xdr:row>95</xdr:row>
                    <xdr:rowOff>0</xdr:rowOff>
                  </from>
                  <to>
                    <xdr:col>8</xdr:col>
                    <xdr:colOff>0</xdr:colOff>
                    <xdr:row>96</xdr:row>
                    <xdr:rowOff>0</xdr:rowOff>
                  </to>
                </anchor>
              </controlPr>
            </control>
          </mc:Choice>
        </mc:AlternateContent>
        <mc:AlternateContent xmlns:mc="http://schemas.openxmlformats.org/markup-compatibility/2006">
          <mc:Choice Requires="x14">
            <control shapeId="9343" r:id="rId101" name="Relay1Fault1">
              <controlPr defaultSize="0" autoLine="0" autoPict="0" macro="[0]!grading">
                <anchor moveWithCells="1">
                  <from>
                    <xdr:col>7</xdr:col>
                    <xdr:colOff>0</xdr:colOff>
                    <xdr:row>96</xdr:row>
                    <xdr:rowOff>0</xdr:rowOff>
                  </from>
                  <to>
                    <xdr:col>8</xdr:col>
                    <xdr:colOff>0</xdr:colOff>
                    <xdr:row>97</xdr:row>
                    <xdr:rowOff>0</xdr:rowOff>
                  </to>
                </anchor>
              </controlPr>
            </control>
          </mc:Choice>
        </mc:AlternateContent>
        <mc:AlternateContent xmlns:mc="http://schemas.openxmlformats.org/markup-compatibility/2006">
          <mc:Choice Requires="x14">
            <control shapeId="9344" r:id="rId102" name="Relay1Fault1">
              <controlPr defaultSize="0" autoLine="0" autoPict="0" macro="[0]!grading">
                <anchor moveWithCells="1">
                  <from>
                    <xdr:col>7</xdr:col>
                    <xdr:colOff>0</xdr:colOff>
                    <xdr:row>97</xdr:row>
                    <xdr:rowOff>0</xdr:rowOff>
                  </from>
                  <to>
                    <xdr:col>8</xdr:col>
                    <xdr:colOff>0</xdr:colOff>
                    <xdr:row>98</xdr:row>
                    <xdr:rowOff>0</xdr:rowOff>
                  </to>
                </anchor>
              </controlPr>
            </control>
          </mc:Choice>
        </mc:AlternateContent>
        <mc:AlternateContent xmlns:mc="http://schemas.openxmlformats.org/markup-compatibility/2006">
          <mc:Choice Requires="x14">
            <control shapeId="9345" r:id="rId103" name="Relay1Fault1">
              <controlPr defaultSize="0" autoLine="0" autoPict="0" macro="[0]!grading">
                <anchor moveWithCells="1">
                  <from>
                    <xdr:col>7</xdr:col>
                    <xdr:colOff>0</xdr:colOff>
                    <xdr:row>110</xdr:row>
                    <xdr:rowOff>0</xdr:rowOff>
                  </from>
                  <to>
                    <xdr:col>8</xdr:col>
                    <xdr:colOff>0</xdr:colOff>
                    <xdr:row>111</xdr:row>
                    <xdr:rowOff>0</xdr:rowOff>
                  </to>
                </anchor>
              </controlPr>
            </control>
          </mc:Choice>
        </mc:AlternateContent>
        <mc:AlternateContent xmlns:mc="http://schemas.openxmlformats.org/markup-compatibility/2006">
          <mc:Choice Requires="x14">
            <control shapeId="9346" r:id="rId104" name="Relay1Fault1">
              <controlPr defaultSize="0" autoLine="0" autoPict="0" macro="[0]!grading">
                <anchor moveWithCells="1">
                  <from>
                    <xdr:col>7</xdr:col>
                    <xdr:colOff>0</xdr:colOff>
                    <xdr:row>111</xdr:row>
                    <xdr:rowOff>0</xdr:rowOff>
                  </from>
                  <to>
                    <xdr:col>8</xdr:col>
                    <xdr:colOff>0</xdr:colOff>
                    <xdr:row>112</xdr:row>
                    <xdr:rowOff>0</xdr:rowOff>
                  </to>
                </anchor>
              </controlPr>
            </control>
          </mc:Choice>
        </mc:AlternateContent>
        <mc:AlternateContent xmlns:mc="http://schemas.openxmlformats.org/markup-compatibility/2006">
          <mc:Choice Requires="x14">
            <control shapeId="9347" r:id="rId105" name="Relay1Fault1">
              <controlPr defaultSize="0" autoLine="0" autoPict="0" macro="[0]!grading">
                <anchor moveWithCells="1">
                  <from>
                    <xdr:col>7</xdr:col>
                    <xdr:colOff>0</xdr:colOff>
                    <xdr:row>112</xdr:row>
                    <xdr:rowOff>0</xdr:rowOff>
                  </from>
                  <to>
                    <xdr:col>8</xdr:col>
                    <xdr:colOff>0</xdr:colOff>
                    <xdr:row>113</xdr:row>
                    <xdr:rowOff>0</xdr:rowOff>
                  </to>
                </anchor>
              </controlPr>
            </control>
          </mc:Choice>
        </mc:AlternateContent>
        <mc:AlternateContent xmlns:mc="http://schemas.openxmlformats.org/markup-compatibility/2006">
          <mc:Choice Requires="x14">
            <control shapeId="9348" r:id="rId106" name="Relay1Fault1">
              <controlPr defaultSize="0" autoLine="0" autoPict="0" macro="[0]!grading">
                <anchor moveWithCells="1">
                  <from>
                    <xdr:col>7</xdr:col>
                    <xdr:colOff>0</xdr:colOff>
                    <xdr:row>125</xdr:row>
                    <xdr:rowOff>0</xdr:rowOff>
                  </from>
                  <to>
                    <xdr:col>8</xdr:col>
                    <xdr:colOff>0</xdr:colOff>
                    <xdr:row>126</xdr:row>
                    <xdr:rowOff>0</xdr:rowOff>
                  </to>
                </anchor>
              </controlPr>
            </control>
          </mc:Choice>
        </mc:AlternateContent>
        <mc:AlternateContent xmlns:mc="http://schemas.openxmlformats.org/markup-compatibility/2006">
          <mc:Choice Requires="x14">
            <control shapeId="9349" r:id="rId107" name="Relay1Fault1">
              <controlPr defaultSize="0" autoLine="0" autoPict="0" macro="[0]!grading">
                <anchor moveWithCells="1">
                  <from>
                    <xdr:col>7</xdr:col>
                    <xdr:colOff>0</xdr:colOff>
                    <xdr:row>126</xdr:row>
                    <xdr:rowOff>0</xdr:rowOff>
                  </from>
                  <to>
                    <xdr:col>8</xdr:col>
                    <xdr:colOff>0</xdr:colOff>
                    <xdr:row>127</xdr:row>
                    <xdr:rowOff>0</xdr:rowOff>
                  </to>
                </anchor>
              </controlPr>
            </control>
          </mc:Choice>
        </mc:AlternateContent>
        <mc:AlternateContent xmlns:mc="http://schemas.openxmlformats.org/markup-compatibility/2006">
          <mc:Choice Requires="x14">
            <control shapeId="9350" r:id="rId108" name="Relay1Fault1">
              <controlPr defaultSize="0" autoLine="0" autoPict="0" macro="[0]!grading">
                <anchor moveWithCells="1">
                  <from>
                    <xdr:col>7</xdr:col>
                    <xdr:colOff>0</xdr:colOff>
                    <xdr:row>127</xdr:row>
                    <xdr:rowOff>0</xdr:rowOff>
                  </from>
                  <to>
                    <xdr:col>8</xdr:col>
                    <xdr:colOff>0</xdr:colOff>
                    <xdr:row>128</xdr:row>
                    <xdr:rowOff>0</xdr:rowOff>
                  </to>
                </anchor>
              </controlPr>
            </control>
          </mc:Choice>
        </mc:AlternateContent>
        <mc:AlternateContent xmlns:mc="http://schemas.openxmlformats.org/markup-compatibility/2006">
          <mc:Choice Requires="x14">
            <control shapeId="9351" r:id="rId109" name="Relay1Fault1">
              <controlPr defaultSize="0" autoLine="0" autoPict="0" macro="[0]!grading">
                <anchor moveWithCells="1">
                  <from>
                    <xdr:col>7</xdr:col>
                    <xdr:colOff>0</xdr:colOff>
                    <xdr:row>140</xdr:row>
                    <xdr:rowOff>0</xdr:rowOff>
                  </from>
                  <to>
                    <xdr:col>8</xdr:col>
                    <xdr:colOff>0</xdr:colOff>
                    <xdr:row>141</xdr:row>
                    <xdr:rowOff>0</xdr:rowOff>
                  </to>
                </anchor>
              </controlPr>
            </control>
          </mc:Choice>
        </mc:AlternateContent>
        <mc:AlternateContent xmlns:mc="http://schemas.openxmlformats.org/markup-compatibility/2006">
          <mc:Choice Requires="x14">
            <control shapeId="9352" r:id="rId110" name="Relay1Fault1">
              <controlPr defaultSize="0" autoLine="0" autoPict="0" macro="[0]!grading">
                <anchor moveWithCells="1">
                  <from>
                    <xdr:col>7</xdr:col>
                    <xdr:colOff>0</xdr:colOff>
                    <xdr:row>141</xdr:row>
                    <xdr:rowOff>0</xdr:rowOff>
                  </from>
                  <to>
                    <xdr:col>8</xdr:col>
                    <xdr:colOff>0</xdr:colOff>
                    <xdr:row>142</xdr:row>
                    <xdr:rowOff>0</xdr:rowOff>
                  </to>
                </anchor>
              </controlPr>
            </control>
          </mc:Choice>
        </mc:AlternateContent>
        <mc:AlternateContent xmlns:mc="http://schemas.openxmlformats.org/markup-compatibility/2006">
          <mc:Choice Requires="x14">
            <control shapeId="9353" r:id="rId111" name="Relay1Fault1">
              <controlPr defaultSize="0" autoLine="0" autoPict="0" macro="[0]!grading">
                <anchor moveWithCells="1">
                  <from>
                    <xdr:col>7</xdr:col>
                    <xdr:colOff>0</xdr:colOff>
                    <xdr:row>142</xdr:row>
                    <xdr:rowOff>0</xdr:rowOff>
                  </from>
                  <to>
                    <xdr:col>8</xdr:col>
                    <xdr:colOff>0</xdr:colOff>
                    <xdr:row>143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L46"/>
  <sheetViews>
    <sheetView tabSelected="1" workbookViewId="0">
      <selection activeCell="D3" sqref="D3"/>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5.140625" customWidth="1"/>
    <col min="18" max="18" width="20.7109375" bestFit="1" customWidth="1"/>
    <col min="19" max="19" width="12.85546875" bestFit="1" customWidth="1"/>
    <col min="20" max="20" width="12.85546875" customWidth="1"/>
    <col min="21" max="21" width="10.710937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 min="34" max="34" width="13.42578125" bestFit="1" customWidth="1"/>
    <col min="36" max="36" width="15" bestFit="1" customWidth="1"/>
  </cols>
  <sheetData>
    <row r="1" spans="1:38" x14ac:dyDescent="0.25">
      <c r="A1" s="6" t="s">
        <v>37</v>
      </c>
      <c r="B1" s="101"/>
      <c r="C1" s="102"/>
      <c r="D1" s="102"/>
      <c r="E1" s="102"/>
      <c r="F1" s="102"/>
      <c r="G1" s="102"/>
      <c r="H1" s="102"/>
      <c r="I1" s="103"/>
      <c r="K1" s="17" t="s">
        <v>48</v>
      </c>
      <c r="L1" s="43">
        <v>11</v>
      </c>
      <c r="M1" s="2" t="s">
        <v>47</v>
      </c>
      <c r="N1" s="3" t="s">
        <v>72</v>
      </c>
      <c r="O1" s="92" t="s">
        <v>240</v>
      </c>
      <c r="AA1" t="s">
        <v>62</v>
      </c>
      <c r="AB1" t="s">
        <v>60</v>
      </c>
      <c r="AC1" t="s">
        <v>58</v>
      </c>
      <c r="AD1" t="s">
        <v>59</v>
      </c>
      <c r="AE1" t="s">
        <v>80</v>
      </c>
      <c r="AF1" t="s">
        <v>27</v>
      </c>
      <c r="AG1" t="s">
        <v>123</v>
      </c>
      <c r="AJ1" s="52" t="s">
        <v>212</v>
      </c>
      <c r="AL1" s="94" t="s">
        <v>219</v>
      </c>
    </row>
    <row r="2" spans="1:38" x14ac:dyDescent="0.25">
      <c r="A2" s="6"/>
      <c r="B2" s="13"/>
      <c r="K2" s="17" t="s">
        <v>53</v>
      </c>
      <c r="L2" s="26">
        <v>1</v>
      </c>
      <c r="M2" s="2" t="s">
        <v>13</v>
      </c>
      <c r="R2" s="52"/>
      <c r="S2" s="52"/>
      <c r="U2" s="52"/>
      <c r="Y2" s="52" t="s">
        <v>81</v>
      </c>
      <c r="AA2">
        <v>2</v>
      </c>
      <c r="AB2" t="s">
        <v>19</v>
      </c>
      <c r="AC2" t="s">
        <v>14</v>
      </c>
      <c r="AD2" t="s">
        <v>14</v>
      </c>
      <c r="AE2" s="52" t="s">
        <v>81</v>
      </c>
      <c r="AF2">
        <v>10</v>
      </c>
      <c r="AG2" s="60" t="s">
        <v>124</v>
      </c>
      <c r="AH2">
        <v>3</v>
      </c>
      <c r="AJ2" s="52" t="s">
        <v>214</v>
      </c>
      <c r="AL2" s="94" t="s">
        <v>14</v>
      </c>
    </row>
    <row r="3" spans="1:38" x14ac:dyDescent="0.25">
      <c r="A3" s="18" t="s">
        <v>7</v>
      </c>
      <c r="B3" t="str">
        <f>IF($F$15=TRUE,"CONFIRM PICKUP", "")</f>
        <v/>
      </c>
      <c r="G3" s="8">
        <v>4</v>
      </c>
      <c r="R3" s="52"/>
      <c r="U3" s="98"/>
      <c r="Y3" s="52" t="s">
        <v>82</v>
      </c>
      <c r="AB3" t="s">
        <v>15</v>
      </c>
      <c r="AC3" t="str">
        <f>IF(Faults!B4&gt;0,"F1" &amp; " - " &amp; Faults!B4 &amp;" A","F1 - 0 A")</f>
        <v>F1 - 0 A</v>
      </c>
      <c r="AD3" t="str">
        <f>LEFT(Calcs!B$1,FIND("-",Calcs!B$1,1 )) &amp; " " &amp; Calcs!B$2</f>
        <v>Relay 1 - (none)</v>
      </c>
      <c r="AE3" s="52" t="s">
        <v>82</v>
      </c>
      <c r="AF3">
        <v>100</v>
      </c>
      <c r="AG3" s="67" t="s">
        <v>132</v>
      </c>
      <c r="AH3">
        <v>54</v>
      </c>
      <c r="AJ3" s="52"/>
      <c r="AL3" s="94" t="s">
        <v>14</v>
      </c>
    </row>
    <row r="4" spans="1:38" ht="17.25" customHeight="1" x14ac:dyDescent="0.2">
      <c r="A4" s="7" t="s">
        <v>0</v>
      </c>
      <c r="B4" s="10">
        <v>1</v>
      </c>
      <c r="F4" s="33" t="b">
        <v>0</v>
      </c>
      <c r="G4" s="21"/>
      <c r="J4" s="73"/>
      <c r="K4" s="73"/>
      <c r="L4" s="73"/>
      <c r="R4" s="52"/>
      <c r="U4" s="98"/>
      <c r="Y4" s="52" t="s">
        <v>179</v>
      </c>
      <c r="AB4" t="s">
        <v>16</v>
      </c>
      <c r="AC4" t="str">
        <f>IF(Faults!B8&gt;0,"F2" &amp; " - " &amp; Faults!B8 &amp;" A","F2 - 0 A")</f>
        <v>F2 - 0 A</v>
      </c>
      <c r="AD4" t="str">
        <f>LEFT(Calcs!C$1,FIND("-",Calcs!C$1,1 )) &amp; " " &amp; Calcs!C$2</f>
        <v>Relay 2 - (none)</v>
      </c>
      <c r="AE4" s="52" t="s">
        <v>179</v>
      </c>
      <c r="AG4" s="61" t="s">
        <v>125</v>
      </c>
      <c r="AH4">
        <v>45</v>
      </c>
      <c r="AJ4" s="52"/>
      <c r="AL4" s="94" t="s">
        <v>152</v>
      </c>
    </row>
    <row r="5" spans="1:38" ht="17.25" customHeight="1" x14ac:dyDescent="0.2">
      <c r="A5" s="7" t="s">
        <v>50</v>
      </c>
      <c r="B5" s="97" t="s">
        <v>7</v>
      </c>
      <c r="F5" s="35" t="b">
        <v>0</v>
      </c>
      <c r="G5" s="34"/>
      <c r="I5" s="105" t="s">
        <v>49</v>
      </c>
      <c r="J5" s="106"/>
      <c r="K5" s="106"/>
      <c r="L5" s="106"/>
      <c r="M5" s="106"/>
      <c r="N5" s="107"/>
      <c r="R5" s="52"/>
      <c r="U5" s="98"/>
      <c r="AB5" t="s">
        <v>17</v>
      </c>
      <c r="AC5" t="str">
        <f>IF(Faults!B12&gt;0,"F3" &amp; " - " &amp; Faults!B12 &amp;" A","F3 - 0 A")</f>
        <v>F3 - 0 A</v>
      </c>
      <c r="AD5" t="str">
        <f>LEFT(Calcs!D$1,FIND("-",Calcs!D$1,1 )) &amp; " " &amp; Calcs!D$2</f>
        <v>Relay 3 - (none)</v>
      </c>
      <c r="AG5" s="62" t="s">
        <v>126</v>
      </c>
      <c r="AH5">
        <v>50</v>
      </c>
      <c r="AJ5" s="52"/>
      <c r="AL5" s="94" t="s">
        <v>191</v>
      </c>
    </row>
    <row r="6" spans="1:38" ht="15.75" customHeight="1" x14ac:dyDescent="0.2">
      <c r="A6" s="7" t="s">
        <v>51</v>
      </c>
      <c r="B6" s="9">
        <v>11</v>
      </c>
      <c r="C6" t="s">
        <v>47</v>
      </c>
      <c r="E6" s="83" t="b">
        <v>1</v>
      </c>
      <c r="F6" t="b">
        <v>0</v>
      </c>
      <c r="I6" s="16" t="s">
        <v>25</v>
      </c>
      <c r="J6" s="22" t="str">
        <f>B5</f>
        <v>Relay 1</v>
      </c>
      <c r="K6" s="74" t="s">
        <v>28</v>
      </c>
      <c r="L6" s="29">
        <v>1</v>
      </c>
      <c r="M6" s="16"/>
      <c r="N6" s="16" t="s">
        <v>146</v>
      </c>
      <c r="AB6" t="s">
        <v>20</v>
      </c>
      <c r="AC6" t="str">
        <f>IF(Faults!B16&gt;0,"F4" &amp; " - " &amp; Faults!B16 &amp;" A","F4 - 0 A")</f>
        <v>F4 - 0 A</v>
      </c>
      <c r="AD6" t="str">
        <f>LEFT(Calcs!E$1,FIND("-",Calcs!E$1,1 )) &amp; " " &amp; Calcs!E$2</f>
        <v>Relay 4 - P123</v>
      </c>
      <c r="AG6" s="63" t="s">
        <v>127</v>
      </c>
      <c r="AH6">
        <v>4</v>
      </c>
      <c r="AJ6" s="52"/>
      <c r="AL6" s="94" t="s">
        <v>14</v>
      </c>
    </row>
    <row r="7" spans="1:38" ht="15.75" customHeight="1" x14ac:dyDescent="0.2">
      <c r="A7" s="7" t="s">
        <v>2</v>
      </c>
      <c r="B7" s="9">
        <v>400</v>
      </c>
      <c r="C7" s="1" t="s">
        <v>3</v>
      </c>
      <c r="D7" s="9">
        <v>5</v>
      </c>
      <c r="E7" s="83" t="b">
        <v>1</v>
      </c>
      <c r="F7" s="104" t="s">
        <v>52</v>
      </c>
      <c r="G7" s="104"/>
      <c r="H7" s="1"/>
      <c r="I7" s="29">
        <v>1</v>
      </c>
      <c r="J7" s="28">
        <v>0</v>
      </c>
      <c r="K7" s="72">
        <v>1</v>
      </c>
      <c r="L7" s="28">
        <v>0</v>
      </c>
      <c r="M7" s="7" t="s">
        <v>23</v>
      </c>
      <c r="N7" s="28">
        <v>0</v>
      </c>
      <c r="O7" t="s">
        <v>23</v>
      </c>
      <c r="P7" s="75"/>
      <c r="AB7" t="s">
        <v>108</v>
      </c>
      <c r="AC7" t="str">
        <f>IF(Faults!B20&gt;0,"F5" &amp; " - " &amp; Faults!B20 &amp;" A","F5 - 0 A")</f>
        <v>F5 - 0 A</v>
      </c>
      <c r="AD7" t="str">
        <f>LEFT(Calcs!F$1,FIND("-",Calcs!F$1,1 )) &amp; " " &amp; Calcs!F$2</f>
        <v>Relay 5 - (none)</v>
      </c>
      <c r="AG7" s="64" t="s">
        <v>128</v>
      </c>
      <c r="AH7">
        <v>11</v>
      </c>
      <c r="AJ7" s="52"/>
      <c r="AL7" s="94" t="s">
        <v>14</v>
      </c>
    </row>
    <row r="8" spans="1:38" ht="15.75" customHeight="1" x14ac:dyDescent="0.2">
      <c r="A8" s="7" t="s">
        <v>4</v>
      </c>
      <c r="B8" s="9">
        <v>200</v>
      </c>
      <c r="C8" t="s">
        <v>13</v>
      </c>
      <c r="E8" s="83" t="b">
        <v>1</v>
      </c>
      <c r="F8" s="24">
        <f>ROUND($B8/'Relay 1'!$L$1*$B$6,2)</f>
        <v>200</v>
      </c>
      <c r="G8" s="7" t="s">
        <v>13</v>
      </c>
      <c r="I8" s="10">
        <v>1</v>
      </c>
      <c r="J8" s="28">
        <v>0</v>
      </c>
      <c r="K8" s="72">
        <v>1</v>
      </c>
      <c r="L8" s="28">
        <v>0</v>
      </c>
      <c r="M8" s="7" t="s">
        <v>23</v>
      </c>
      <c r="N8" s="28">
        <v>0</v>
      </c>
      <c r="O8" t="s">
        <v>23</v>
      </c>
      <c r="AC8" t="str">
        <f>IF(Faults!B24&gt;0,"F6" &amp; " - " &amp; Faults!B24 &amp;" A","F6 - 0 A")</f>
        <v>F6 - 0 A</v>
      </c>
      <c r="AD8" t="str">
        <f>LEFT(Calcs!G$1,FIND("-",Calcs!G$1,1 )) &amp; " " &amp; Calcs!G$2</f>
        <v>Relay 6 - (none)</v>
      </c>
      <c r="AG8" s="65" t="s">
        <v>129</v>
      </c>
      <c r="AH8">
        <v>33</v>
      </c>
      <c r="AJ8" s="52"/>
      <c r="AL8" s="94" t="s">
        <v>14</v>
      </c>
    </row>
    <row r="9" spans="1:38" ht="15.75" customHeight="1" x14ac:dyDescent="0.2">
      <c r="A9" s="7" t="s">
        <v>5</v>
      </c>
      <c r="B9" s="12">
        <f>ROUND(B8*D7/B7,2)</f>
        <v>2.5</v>
      </c>
      <c r="C9" t="s">
        <v>13</v>
      </c>
      <c r="E9" s="83" t="b">
        <v>1</v>
      </c>
      <c r="F9" s="12">
        <f>ROUND(F8*D7/B7,2)</f>
        <v>2.5</v>
      </c>
      <c r="G9" s="7" t="s">
        <v>13</v>
      </c>
      <c r="I9" s="10">
        <v>1</v>
      </c>
      <c r="J9" s="28">
        <v>0</v>
      </c>
      <c r="K9" s="72">
        <v>1</v>
      </c>
      <c r="L9" s="28">
        <v>0</v>
      </c>
      <c r="M9" s="7" t="s">
        <v>23</v>
      </c>
      <c r="N9" s="28">
        <v>0</v>
      </c>
      <c r="O9" t="s">
        <v>23</v>
      </c>
      <c r="AC9" t="str">
        <f>IF(Faults!B28&gt;0,"F7" &amp; " - " &amp; Faults!B28 &amp;" A","F7 - 0 A")</f>
        <v>F7 - 0 A</v>
      </c>
      <c r="AD9" t="str">
        <f>LEFT(Calcs!H$1,FIND("-",Calcs!H$1,1 )) &amp; " " &amp; Calcs!H$2</f>
        <v>Relay 7 - (none)</v>
      </c>
      <c r="AG9" s="66" t="s">
        <v>130</v>
      </c>
      <c r="AH9">
        <v>7</v>
      </c>
      <c r="AL9" s="94" t="s">
        <v>14</v>
      </c>
    </row>
    <row r="10" spans="1:38" ht="15.75" customHeight="1" x14ac:dyDescent="0.2">
      <c r="A10" s="7" t="s">
        <v>6</v>
      </c>
      <c r="B10" s="9">
        <v>0.1</v>
      </c>
      <c r="E10" s="83" t="b">
        <v>1</v>
      </c>
      <c r="F10" s="20"/>
      <c r="G10" s="21"/>
      <c r="I10" s="49"/>
      <c r="J10" s="50"/>
      <c r="K10" s="51"/>
      <c r="AC10" t="str">
        <f>IF(Faults!B32&gt;0,"F8" &amp; " - " &amp; Faults!B32 &amp;" A","F8 - 0 A")</f>
        <v>F8 - 0 A</v>
      </c>
      <c r="AD10" t="str">
        <f>LEFT(Calcs!I$1,FIND("-",Calcs!I$1,1 )) &amp; " " &amp; Calcs!I$2</f>
        <v>Relay 8 - (none)</v>
      </c>
      <c r="AG10" s="70" t="s">
        <v>134</v>
      </c>
      <c r="AH10">
        <v>16</v>
      </c>
      <c r="AL10" s="94" t="s">
        <v>14</v>
      </c>
    </row>
    <row r="11" spans="1:38" ht="15.75" customHeight="1" x14ac:dyDescent="0.2">
      <c r="A11" s="7" t="s">
        <v>18</v>
      </c>
      <c r="B11" s="10">
        <v>1</v>
      </c>
      <c r="E11" s="44"/>
      <c r="F11" s="11"/>
      <c r="G11" s="14"/>
      <c r="AC11" t="str">
        <f>IF(Faults!B36&gt;0,"F9" &amp; " - " &amp; Faults!B36 &amp;" A","F9 - 0 A")</f>
        <v>F9 - 0 A</v>
      </c>
      <c r="AD11" t="str">
        <f>LEFT(Calcs!J$1,FIND("-",Calcs!J$1,1 )) &amp; " " &amp; Calcs!J$2</f>
        <v>Relay 9 - (none)</v>
      </c>
      <c r="AG11" s="69" t="s">
        <v>133</v>
      </c>
      <c r="AH11">
        <v>9</v>
      </c>
      <c r="AL11" s="94" t="s">
        <v>14</v>
      </c>
    </row>
    <row r="12" spans="1:38" ht="15.75" customHeight="1" x14ac:dyDescent="0.2">
      <c r="F12" s="15"/>
      <c r="G12" s="22"/>
      <c r="AC12" t="str">
        <f>IF(Faults!B40&gt;0,"F10" &amp; " - " &amp; Faults!B40 &amp;" A","F10 - 0 A")</f>
        <v>F10 - 0 A</v>
      </c>
      <c r="AD12" t="str">
        <f>LEFT(Calcs!K$1,FIND("-",Calcs!K$1,1 )) &amp; " " &amp; Calcs!K$2</f>
        <v>Relay 10 - (none)</v>
      </c>
      <c r="AG12" s="68" t="s">
        <v>131</v>
      </c>
      <c r="AH12">
        <v>1</v>
      </c>
    </row>
    <row r="13" spans="1:38" ht="15.75" customHeight="1" x14ac:dyDescent="0.2">
      <c r="A13" s="7" t="s">
        <v>46</v>
      </c>
      <c r="B13" s="9"/>
      <c r="C13" t="s">
        <v>13</v>
      </c>
      <c r="E13" s="47" t="b">
        <v>1</v>
      </c>
      <c r="F13" s="71">
        <f>IF(F$6=2,$B13/'Relay 1'!$L$1*$B$6/SQRT(3),IF(F$6=3,$B13/'Relay 1'!$L$1*$B$6*SQRT(3),$B13/'Relay 1'!$L$1*$B$6))</f>
        <v>0</v>
      </c>
      <c r="G13" s="36" t="s">
        <v>13</v>
      </c>
      <c r="AC13" t="str">
        <f>IF(Faults!B44&gt;0,"F11" &amp; " - " &amp; Faults!B44 &amp;" A","F11 - 0 A")</f>
        <v>F11 - 0 A</v>
      </c>
      <c r="AG13" s="88" t="s">
        <v>209</v>
      </c>
      <c r="AH13">
        <v>6</v>
      </c>
    </row>
    <row r="14" spans="1:38" ht="15.75" customHeight="1" x14ac:dyDescent="0.2">
      <c r="A14" s="7" t="s">
        <v>71</v>
      </c>
      <c r="B14" s="9"/>
      <c r="C14" t="s">
        <v>23</v>
      </c>
      <c r="E14" s="93"/>
      <c r="AC14" t="str">
        <f>IF(Faults!B48&gt;0,"F12" &amp; " - " &amp; Faults!B48 &amp;" A","F12 - 0 A")</f>
        <v>F12 - 0 A</v>
      </c>
      <c r="AG14" s="89" t="s">
        <v>210</v>
      </c>
      <c r="AH14">
        <v>17</v>
      </c>
    </row>
    <row r="15" spans="1:38" ht="15.75" customHeight="1" x14ac:dyDescent="0.2">
      <c r="E15" s="93"/>
      <c r="F15" t="b">
        <v>0</v>
      </c>
      <c r="AC15" t="str">
        <f>IF(Faults!B52&gt;0,"F13" &amp; " - " &amp; Faults!B52 &amp;" A","F13 - 0 A")</f>
        <v>F13 - 0 A</v>
      </c>
      <c r="AG15" s="90" t="s">
        <v>211</v>
      </c>
      <c r="AH15">
        <v>12</v>
      </c>
    </row>
    <row r="16" spans="1:38" ht="15.75" customHeight="1" x14ac:dyDescent="0.2">
      <c r="A16" s="7" t="s">
        <v>38</v>
      </c>
      <c r="B16" s="9"/>
      <c r="C16" t="s">
        <v>23</v>
      </c>
      <c r="E16" s="93"/>
      <c r="F16" t="b">
        <v>0</v>
      </c>
      <c r="AC16" t="str">
        <f>IF(Faults!B56&gt;0,"F14" &amp; " - " &amp; Faults!B56 &amp;" A","F14 - 0 A")</f>
        <v>F14 - 0 A</v>
      </c>
      <c r="AG16" s="91" t="s">
        <v>213</v>
      </c>
      <c r="AH16">
        <v>40</v>
      </c>
    </row>
    <row r="17" spans="1:29" ht="15.75" customHeight="1" x14ac:dyDescent="0.2">
      <c r="E17" s="93"/>
      <c r="AC17" t="str">
        <f>IF(Faults!B60&gt;0,"F15" &amp; " - " &amp; Faults!B60 &amp;" A","F15 - 0 A")</f>
        <v>F15 - 0 A</v>
      </c>
    </row>
    <row r="18" spans="1:29" ht="15.75" customHeight="1" x14ac:dyDescent="0.2">
      <c r="A18" s="7" t="s">
        <v>39</v>
      </c>
      <c r="B18" s="7"/>
      <c r="C18" t="s">
        <v>24</v>
      </c>
      <c r="E18" s="93"/>
      <c r="AC18" t="str">
        <f>IF(Faults!B64&gt;0,"F16" &amp; " - " &amp; Faults!B64 &amp;" A","F16 - 0 A")</f>
        <v>F16 - 0 A</v>
      </c>
    </row>
    <row r="19" spans="1:29" ht="15.75" customHeight="1" x14ac:dyDescent="0.2">
      <c r="E19" s="93"/>
      <c r="AC19" t="str">
        <f>IF(Faults!B68&gt;0,"F17" &amp; " - " &amp; Faults!B68 &amp;" A","F17 - 0 A")</f>
        <v>F17 - 0 A</v>
      </c>
    </row>
    <row r="20" spans="1:29" ht="15.75" customHeight="1" x14ac:dyDescent="0.2">
      <c r="A20" s="7" t="s">
        <v>63</v>
      </c>
      <c r="B20" s="9"/>
      <c r="C20" t="s">
        <v>135</v>
      </c>
      <c r="E20" s="45"/>
      <c r="H20" s="3"/>
      <c r="AC20" t="str">
        <f>IF(Faults!B72&gt;0,"F18" &amp; " - " &amp; Faults!B72 &amp;" A","F18 - 0 A")</f>
        <v>F18 - 0 A</v>
      </c>
    </row>
    <row r="21" spans="1:29" ht="15.75" customHeight="1" x14ac:dyDescent="0.2">
      <c r="B21" s="9"/>
      <c r="C21" t="s">
        <v>13</v>
      </c>
      <c r="E21" s="45"/>
      <c r="H21" s="3"/>
      <c r="AC21" t="str">
        <f>IF(Faults!B76&gt;0,"F19" &amp; " - " &amp; Faults!B76 &amp;" A","F19 - 0 A")</f>
        <v>F19 - 0 A</v>
      </c>
    </row>
    <row r="22" spans="1:29" ht="15.75" customHeight="1" x14ac:dyDescent="0.2">
      <c r="AC22" t="str">
        <f>IF(Faults!B80&gt;0,"F20" &amp; " - " &amp; Faults!B80 &amp;" A","F20 - 0 A")</f>
        <v>F20 - 0 A</v>
      </c>
    </row>
    <row r="23" spans="1:29" ht="15.75" customHeight="1" x14ac:dyDescent="0.2">
      <c r="A23" s="7" t="s">
        <v>80</v>
      </c>
      <c r="B23" s="9">
        <v>1</v>
      </c>
    </row>
    <row r="25" spans="1:29" ht="15.75" customHeight="1" x14ac:dyDescent="0.2">
      <c r="A25" s="7" t="s">
        <v>215</v>
      </c>
      <c r="B25" s="9"/>
      <c r="C25" t="s">
        <v>13</v>
      </c>
      <c r="E25" t="b">
        <v>1</v>
      </c>
      <c r="F25" s="71">
        <f>$B25/'Relay 1'!$L$1*$B$6</f>
        <v>0</v>
      </c>
      <c r="G25" s="36" t="s">
        <v>13</v>
      </c>
    </row>
    <row r="26" spans="1:29" ht="15.75" customHeight="1" x14ac:dyDescent="0.2">
      <c r="A26" s="7" t="s">
        <v>216</v>
      </c>
      <c r="B26" s="9"/>
      <c r="C26" t="s">
        <v>23</v>
      </c>
    </row>
    <row r="27" spans="1:29" ht="15.75" customHeight="1" x14ac:dyDescent="0.2">
      <c r="E27" s="93"/>
    </row>
    <row r="28" spans="1:29" ht="15.75" customHeight="1" x14ac:dyDescent="0.2">
      <c r="A28" s="96" t="s">
        <v>232</v>
      </c>
      <c r="B28" s="9"/>
      <c r="C28" s="52" t="s">
        <v>13</v>
      </c>
      <c r="E28" s="93" t="b">
        <v>1</v>
      </c>
      <c r="F28" s="71">
        <f>$B28/'Relay 1'!$L$1*$B$6</f>
        <v>0</v>
      </c>
      <c r="G28" s="36" t="s">
        <v>13</v>
      </c>
    </row>
    <row r="29" spans="1:29" ht="15.75" customHeight="1" x14ac:dyDescent="0.2">
      <c r="A29" s="96" t="s">
        <v>228</v>
      </c>
      <c r="B29" s="9"/>
      <c r="C29" s="52" t="s">
        <v>23</v>
      </c>
      <c r="E29" s="108" t="s">
        <v>75</v>
      </c>
    </row>
    <row r="30" spans="1:29" ht="15.75" customHeight="1" x14ac:dyDescent="0.2">
      <c r="E30" s="108"/>
    </row>
    <row r="31" spans="1:29" ht="15.75" customHeight="1" x14ac:dyDescent="0.2">
      <c r="A31" s="52"/>
      <c r="E31" s="108"/>
    </row>
    <row r="32" spans="1:29" ht="15.75" customHeight="1" x14ac:dyDescent="0.2">
      <c r="A32" s="52"/>
      <c r="E32" s="108"/>
    </row>
    <row r="33" spans="1:18" ht="15.75" customHeight="1" x14ac:dyDescent="0.2">
      <c r="A33" s="52"/>
      <c r="E33" s="108"/>
      <c r="R33" s="93"/>
    </row>
    <row r="34" spans="1:18" ht="15.75" customHeight="1" x14ac:dyDescent="0.2">
      <c r="A34" s="52" t="s">
        <v>217</v>
      </c>
      <c r="E34" s="108"/>
      <c r="R34" s="93"/>
    </row>
    <row r="35" spans="1:18" ht="15.75" customHeight="1" x14ac:dyDescent="0.2">
      <c r="A35" s="7" t="s">
        <v>2</v>
      </c>
      <c r="B35" s="9">
        <v>400</v>
      </c>
      <c r="C35" t="s">
        <v>3</v>
      </c>
      <c r="D35" s="9">
        <v>5</v>
      </c>
      <c r="R35" s="93"/>
    </row>
    <row r="36" spans="1:18" ht="15.75" customHeight="1" x14ac:dyDescent="0.2">
      <c r="A36" s="7" t="s">
        <v>4</v>
      </c>
      <c r="B36" s="9"/>
      <c r="C36" t="s">
        <v>13</v>
      </c>
      <c r="R36" s="93"/>
    </row>
    <row r="37" spans="1:18" ht="15.75" customHeight="1" x14ac:dyDescent="0.2">
      <c r="A37" s="7" t="s">
        <v>5</v>
      </c>
      <c r="B37" s="12">
        <f>ROUND(B36*D35/B35,2)</f>
        <v>0</v>
      </c>
      <c r="C37" t="s">
        <v>13</v>
      </c>
      <c r="R37" s="93"/>
    </row>
    <row r="38" spans="1:18" ht="15.75" customHeight="1" x14ac:dyDescent="0.2">
      <c r="A38" s="7" t="s">
        <v>6</v>
      </c>
      <c r="B38" s="9"/>
      <c r="R38" s="93"/>
    </row>
    <row r="39" spans="1:18" ht="15.75" customHeight="1" x14ac:dyDescent="0.2">
      <c r="A39" s="7" t="s">
        <v>18</v>
      </c>
      <c r="B39" s="9"/>
    </row>
    <row r="40" spans="1:18" ht="15.75" customHeight="1" x14ac:dyDescent="0.2">
      <c r="A40" s="7" t="s">
        <v>46</v>
      </c>
      <c r="B40" s="9"/>
      <c r="C40" t="s">
        <v>13</v>
      </c>
    </row>
    <row r="41" spans="1:18" ht="15.75" customHeight="1" x14ac:dyDescent="0.2">
      <c r="A41" s="7" t="s">
        <v>71</v>
      </c>
      <c r="B41" s="9"/>
      <c r="C41" t="s">
        <v>23</v>
      </c>
    </row>
    <row r="42" spans="1:18" ht="15.75" customHeight="1" x14ac:dyDescent="0.2">
      <c r="A42" s="7" t="s">
        <v>215</v>
      </c>
      <c r="B42" s="9"/>
      <c r="C42" t="s">
        <v>13</v>
      </c>
    </row>
    <row r="43" spans="1:18" ht="15.75" customHeight="1" x14ac:dyDescent="0.2">
      <c r="A43" s="7" t="s">
        <v>71</v>
      </c>
      <c r="B43" s="9"/>
      <c r="C43" t="s">
        <v>23</v>
      </c>
    </row>
    <row r="44" spans="1:18" ht="15.75" customHeight="1" x14ac:dyDescent="0.2">
      <c r="A44" s="96" t="s">
        <v>229</v>
      </c>
      <c r="B44" s="9"/>
      <c r="C44" s="52" t="s">
        <v>23</v>
      </c>
    </row>
    <row r="46" spans="1:18"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4">
    <mergeCell ref="B1:I1"/>
    <mergeCell ref="F7:G7"/>
    <mergeCell ref="I5:N5"/>
    <mergeCell ref="E29:E34"/>
  </mergeCells>
  <phoneticPr fontId="8" type="noConversion"/>
  <conditionalFormatting sqref="B3">
    <cfRule type="expression" dxfId="10" priority="1" stopIfTrue="1">
      <formula>$F$15</formula>
    </cfRule>
  </conditionalFormatting>
  <dataValidations count="4">
    <dataValidation type="decimal" operator="greaterThan" showInputMessage="1" showErrorMessage="1" sqref="L1" xr:uid="{00000000-0002-0000-0400-000000000000}">
      <formula1>0</formula1>
    </dataValidation>
    <dataValidation type="decimal" operator="greaterThan" showInputMessage="1" showErrorMessage="1" errorTitle="Operating Voltage" error="Operating Voltage must be greater than zero." sqref="B6" xr:uid="{00000000-0002-0000-0400-000001000000}">
      <formula1>0</formula1>
    </dataValidation>
    <dataValidation operator="greaterThan" allowBlank="1" showInputMessage="1" showErrorMessage="1" sqref="B7" xr:uid="{00000000-0002-0000-0400-000002000000}"/>
    <dataValidation type="whole" allowBlank="1" showInputMessage="1" showErrorMessage="1" sqref="B11" xr:uid="{00000000-0002-0000-0400-000003000000}">
      <formula1>1</formula1>
      <formula2>5</formula2>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Relay1">
              <controlPr locked="0" defaultSize="0" autoLine="0" autoPict="0" macro="[0]!Relay_Change">
                <anchor moveWithCells="1">
                  <from>
                    <xdr:col>1</xdr:col>
                    <xdr:colOff>19050</xdr:colOff>
                    <xdr:row>1</xdr:row>
                    <xdr:rowOff>161925</xdr:rowOff>
                  </from>
                  <to>
                    <xdr:col>2</xdr:col>
                    <xdr:colOff>19050</xdr:colOff>
                    <xdr:row>2</xdr:row>
                    <xdr:rowOff>180975</xdr:rowOff>
                  </to>
                </anchor>
              </controlPr>
            </control>
          </mc:Choice>
        </mc:AlternateContent>
        <mc:AlternateContent xmlns:mc="http://schemas.openxmlformats.org/markup-compatibility/2006">
          <mc:Choice Requires="x14">
            <control shapeId="1030" r:id="rId5" name="Curve1">
              <controlPr locked="0" defaultSize="0" autoLine="0" autoPict="0" macro="[0]!CurveType_Change">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1049" r:id="rId6" name="Relay1RelayA">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051" r:id="rId7" name="Relay1FaultA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052" r:id="rId8" name="Relay1FaultA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053" r:id="rId9" name="Relay1FaultA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055" r:id="rId10" name="StartingCurrent">
              <controlPr locked="0" defaultSize="0" autoLine="0" autoPict="0" macro="[0]!StartingCurrent_Change">
                <anchor moveWithCells="1">
                  <from>
                    <xdr:col>11</xdr:col>
                    <xdr:colOff>19050</xdr:colOff>
                    <xdr:row>2</xdr:row>
                    <xdr:rowOff>9525</xdr:rowOff>
                  </from>
                  <to>
                    <xdr:col>12</xdr:col>
                    <xdr:colOff>19050</xdr:colOff>
                    <xdr:row>3</xdr:row>
                    <xdr:rowOff>9525</xdr:rowOff>
                  </to>
                </anchor>
              </controlPr>
            </control>
          </mc:Choice>
        </mc:AlternateContent>
        <mc:AlternateContent xmlns:mc="http://schemas.openxmlformats.org/markup-compatibility/2006">
          <mc:Choice Requires="x14">
            <control shapeId="1064" r:id="rId11"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072" r:id="rId12" name="HideRelay1">
              <controlPr locked="0"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073" r:id="rId13" name="LegendVoltage1">
              <controlPr locked="0" defaultSize="0" autoFill="0" autoLine="0" autoPict="0" macro="[0]!LegendUpdate">
                <anchor moveWithCells="1">
                  <from>
                    <xdr:col>4</xdr:col>
                    <xdr:colOff>0</xdr:colOff>
                    <xdr:row>4</xdr:row>
                    <xdr:rowOff>209550</xdr:rowOff>
                  </from>
                  <to>
                    <xdr:col>5</xdr:col>
                    <xdr:colOff>85725</xdr:colOff>
                    <xdr:row>6</xdr:row>
                    <xdr:rowOff>9525</xdr:rowOff>
                  </to>
                </anchor>
              </controlPr>
            </control>
          </mc:Choice>
        </mc:AlternateContent>
        <mc:AlternateContent xmlns:mc="http://schemas.openxmlformats.org/markup-compatibility/2006">
          <mc:Choice Requires="x14">
            <control shapeId="1075" r:id="rId14" name="LegendCT1">
              <controlPr locked="0" defaultSize="0" autoFill="0" autoLine="0" autoPict="0" macro="[0]!LegendUpdate">
                <anchor moveWithCells="1">
                  <from>
                    <xdr:col>4</xdr:col>
                    <xdr:colOff>0</xdr:colOff>
                    <xdr:row>5</xdr:row>
                    <xdr:rowOff>180975</xdr:rowOff>
                  </from>
                  <to>
                    <xdr:col>5</xdr:col>
                    <xdr:colOff>85725</xdr:colOff>
                    <xdr:row>7</xdr:row>
                    <xdr:rowOff>0</xdr:rowOff>
                  </to>
                </anchor>
              </controlPr>
            </control>
          </mc:Choice>
        </mc:AlternateContent>
        <mc:AlternateContent xmlns:mc="http://schemas.openxmlformats.org/markup-compatibility/2006">
          <mc:Choice Requires="x14">
            <control shapeId="1076" r:id="rId15" name="LegendPrimary1">
              <controlPr locked="0" defaultSize="0" autoFill="0" autoLine="0" autoPict="0" macro="[0]!LegendUpdate">
                <anchor moveWithCells="1">
                  <from>
                    <xdr:col>4</xdr:col>
                    <xdr:colOff>0</xdr:colOff>
                    <xdr:row>6</xdr:row>
                    <xdr:rowOff>190500</xdr:rowOff>
                  </from>
                  <to>
                    <xdr:col>5</xdr:col>
                    <xdr:colOff>85725</xdr:colOff>
                    <xdr:row>8</xdr:row>
                    <xdr:rowOff>9525</xdr:rowOff>
                  </to>
                </anchor>
              </controlPr>
            </control>
          </mc:Choice>
        </mc:AlternateContent>
        <mc:AlternateContent xmlns:mc="http://schemas.openxmlformats.org/markup-compatibility/2006">
          <mc:Choice Requires="x14">
            <control shapeId="1077" r:id="rId16" name="LegendSecondary1">
              <controlPr locked="0" defaultSize="0" autoFill="0" autoLine="0" autoPict="0" macro="[0]!LegendUpdate">
                <anchor moveWithCells="1">
                  <from>
                    <xdr:col>4</xdr:col>
                    <xdr:colOff>0</xdr:colOff>
                    <xdr:row>7</xdr:row>
                    <xdr:rowOff>190500</xdr:rowOff>
                  </from>
                  <to>
                    <xdr:col>5</xdr:col>
                    <xdr:colOff>85725</xdr:colOff>
                    <xdr:row>9</xdr:row>
                    <xdr:rowOff>9525</xdr:rowOff>
                  </to>
                </anchor>
              </controlPr>
            </control>
          </mc:Choice>
        </mc:AlternateContent>
        <mc:AlternateContent xmlns:mc="http://schemas.openxmlformats.org/markup-compatibility/2006">
          <mc:Choice Requires="x14">
            <control shapeId="1078" r:id="rId17" name="LegendTM1">
              <controlPr locked="0" defaultSize="0" autoFill="0" autoLine="0" autoPict="0" macro="[0]!LegendUpdate">
                <anchor moveWithCells="1">
                  <from>
                    <xdr:col>4</xdr:col>
                    <xdr:colOff>0</xdr:colOff>
                    <xdr:row>8</xdr:row>
                    <xdr:rowOff>190500</xdr:rowOff>
                  </from>
                  <to>
                    <xdr:col>5</xdr:col>
                    <xdr:colOff>85725</xdr:colOff>
                    <xdr:row>10</xdr:row>
                    <xdr:rowOff>9525</xdr:rowOff>
                  </to>
                </anchor>
              </controlPr>
            </control>
          </mc:Choice>
        </mc:AlternateContent>
        <mc:AlternateContent xmlns:mc="http://schemas.openxmlformats.org/markup-compatibility/2006">
          <mc:Choice Requires="x14">
            <control shapeId="1080" r:id="rId18" name="LegendInst1">
              <controlPr locked="0" defaultSize="0" autoFill="0" autoLine="0" autoPict="0" macro="[0]!LegendUpdate">
                <anchor moveWithCells="1">
                  <from>
                    <xdr:col>4</xdr:col>
                    <xdr:colOff>0</xdr:colOff>
                    <xdr:row>11</xdr:row>
                    <xdr:rowOff>190500</xdr:rowOff>
                  </from>
                  <to>
                    <xdr:col>5</xdr:col>
                    <xdr:colOff>85725</xdr:colOff>
                    <xdr:row>13</xdr:row>
                    <xdr:rowOff>9525</xdr:rowOff>
                  </to>
                </anchor>
              </controlPr>
            </control>
          </mc:Choice>
        </mc:AlternateContent>
        <mc:AlternateContent xmlns:mc="http://schemas.openxmlformats.org/markup-compatibility/2006">
          <mc:Choice Requires="x14">
            <control shapeId="1083" r:id="rId19" name="Setting Status">
              <controlPr locked="0" defaultSize="0" autoLine="0" autoPict="0" macro="[0]!LegendUpdate">
                <anchor moveWithCells="1">
                  <from>
                    <xdr:col>1</xdr:col>
                    <xdr:colOff>9525</xdr:colOff>
                    <xdr:row>21</xdr:row>
                    <xdr:rowOff>9525</xdr:rowOff>
                  </from>
                  <to>
                    <xdr:col>2</xdr:col>
                    <xdr:colOff>9525</xdr:colOff>
                    <xdr:row>22</xdr:row>
                    <xdr:rowOff>9525</xdr:rowOff>
                  </to>
                </anchor>
              </controlPr>
            </control>
          </mc:Choice>
        </mc:AlternateContent>
        <mc:AlternateContent xmlns:mc="http://schemas.openxmlformats.org/markup-compatibility/2006">
          <mc:Choice Requires="x14">
            <control shapeId="1090" r:id="rId20" name="Drop Down 66">
              <controlPr defaultSize="0" autoLine="0" autoPict="0" macro="[0]!HideRelay_Change">
                <anchor moveWithCells="1">
                  <from>
                    <xdr:col>6</xdr:col>
                    <xdr:colOff>38100</xdr:colOff>
                    <xdr:row>1</xdr:row>
                    <xdr:rowOff>38100</xdr:rowOff>
                  </from>
                  <to>
                    <xdr:col>7</xdr:col>
                    <xdr:colOff>38100</xdr:colOff>
                    <xdr:row>2</xdr:row>
                    <xdr:rowOff>38100</xdr:rowOff>
                  </to>
                </anchor>
              </controlPr>
            </control>
          </mc:Choice>
        </mc:AlternateContent>
        <mc:AlternateContent xmlns:mc="http://schemas.openxmlformats.org/markup-compatibility/2006">
          <mc:Choice Requires="x14">
            <control shapeId="1092" r:id="rId21" name="Button 68">
              <controlPr defaultSize="0" print="0" autoFill="0" autoPict="0" macro="[0]!GenerateColorNumbers">
                <anchor moveWithCells="1" sizeWithCells="1">
                  <from>
                    <xdr:col>33</xdr:col>
                    <xdr:colOff>0</xdr:colOff>
                    <xdr:row>0</xdr:row>
                    <xdr:rowOff>0</xdr:rowOff>
                  </from>
                  <to>
                    <xdr:col>34</xdr:col>
                    <xdr:colOff>0</xdr:colOff>
                    <xdr:row>1</xdr:row>
                    <xdr:rowOff>0</xdr:rowOff>
                  </to>
                </anchor>
              </controlPr>
            </control>
          </mc:Choice>
        </mc:AlternateContent>
        <mc:AlternateContent xmlns:mc="http://schemas.openxmlformats.org/markup-compatibility/2006">
          <mc:Choice Requires="x14">
            <control shapeId="1093" r:id="rId22"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094" r:id="rId23"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095" r:id="rId24"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098" r:id="rId25"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099" r:id="rId26"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152" r:id="rId27"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240" r:id="rId28" name="LegendInst1">
              <controlPr locked="0" defaultSize="0" autoFill="0" autoLine="0" autoPict="0" macro="[0]!LegendUpdate">
                <anchor moveWithCells="1">
                  <from>
                    <xdr:col>4</xdr:col>
                    <xdr:colOff>0</xdr:colOff>
                    <xdr:row>23</xdr:row>
                    <xdr:rowOff>190500</xdr:rowOff>
                  </from>
                  <to>
                    <xdr:col>5</xdr:col>
                    <xdr:colOff>85725</xdr:colOff>
                    <xdr:row>25</xdr:row>
                    <xdr:rowOff>9525</xdr:rowOff>
                  </to>
                </anchor>
              </controlPr>
            </control>
          </mc:Choice>
        </mc:AlternateContent>
        <mc:AlternateContent xmlns:mc="http://schemas.openxmlformats.org/markup-compatibility/2006">
          <mc:Choice Requires="x14">
            <control shapeId="1542" r:id="rId29" name="LegendInst1">
              <controlPr locked="0" defaultSize="0" autoFill="0" autoLine="0" autoPict="0" macro="[0]!LegendUpdate">
                <anchor moveWithCells="1">
                  <from>
                    <xdr:col>4</xdr:col>
                    <xdr:colOff>0</xdr:colOff>
                    <xdr:row>26</xdr:row>
                    <xdr:rowOff>190500</xdr:rowOff>
                  </from>
                  <to>
                    <xdr:col>5</xdr:col>
                    <xdr:colOff>85725</xdr:colOff>
                    <xdr:row>28</xdr:row>
                    <xdr:rowOff>9525</xdr:rowOff>
                  </to>
                </anchor>
              </controlPr>
            </control>
          </mc:Choice>
        </mc:AlternateContent>
        <mc:AlternateContent xmlns:mc="http://schemas.openxmlformats.org/markup-compatibility/2006">
          <mc:Choice Requires="x14">
            <control shapeId="1609" r:id="rId30" name="LegendInst1">
              <controlPr locked="0" defaultSize="0" autoFill="0" autoLine="0" autoPict="0" macro="[0]!LegendUpdate">
                <anchor moveWithCells="1">
                  <from>
                    <xdr:col>4</xdr:col>
                    <xdr:colOff>0</xdr:colOff>
                    <xdr:row>26</xdr:row>
                    <xdr:rowOff>190500</xdr:rowOff>
                  </from>
                  <to>
                    <xdr:col>5</xdr:col>
                    <xdr:colOff>85725</xdr:colOff>
                    <xdr:row>28</xdr:row>
                    <xdr:rowOff>9525</xdr:rowOff>
                  </to>
                </anchor>
              </controlPr>
            </control>
          </mc:Choice>
        </mc:AlternateContent>
        <mc:AlternateContent xmlns:mc="http://schemas.openxmlformats.org/markup-compatibility/2006">
          <mc:Choice Requires="x14">
            <control shapeId="1671" r:id="rId31"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672" r:id="rId32"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AA46"/>
  <sheetViews>
    <sheetView workbookViewId="0">
      <selection activeCell="C5" sqref="C5"/>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3</v>
      </c>
    </row>
    <row r="3" spans="1:27" x14ac:dyDescent="0.25">
      <c r="A3" s="18" t="s">
        <v>8</v>
      </c>
      <c r="B3" t="str">
        <f>IF($F$15=TRUE,"CONFIRM PICKUP", "")</f>
        <v/>
      </c>
      <c r="G3" s="8">
        <v>1</v>
      </c>
    </row>
    <row r="4" spans="1:27" ht="17.25" customHeight="1" x14ac:dyDescent="0.2">
      <c r="A4" s="7" t="s">
        <v>0</v>
      </c>
      <c r="B4" s="10">
        <v>1</v>
      </c>
      <c r="F4" s="33" t="b">
        <v>0</v>
      </c>
      <c r="G4" s="21"/>
      <c r="J4" s="73"/>
      <c r="K4" s="73"/>
      <c r="L4" s="73"/>
    </row>
    <row r="5" spans="1:27" ht="17.25" customHeight="1" x14ac:dyDescent="0.2">
      <c r="A5" s="7" t="s">
        <v>50</v>
      </c>
      <c r="B5" s="99" t="s">
        <v>8</v>
      </c>
      <c r="F5" s="35" t="b">
        <v>0</v>
      </c>
      <c r="G5" s="34"/>
      <c r="I5" s="105" t="s">
        <v>49</v>
      </c>
      <c r="J5" s="106"/>
      <c r="K5" s="106"/>
      <c r="L5" s="106"/>
      <c r="M5" s="106"/>
      <c r="N5" s="107"/>
    </row>
    <row r="6" spans="1:27" ht="15.75" customHeight="1" x14ac:dyDescent="0.2">
      <c r="A6" s="7" t="s">
        <v>51</v>
      </c>
      <c r="B6" s="9">
        <v>11</v>
      </c>
      <c r="C6" t="s">
        <v>47</v>
      </c>
      <c r="F6" s="8" t="b">
        <v>0</v>
      </c>
      <c r="I6" s="10" t="s">
        <v>25</v>
      </c>
      <c r="J6" s="22" t="str">
        <f>B5</f>
        <v>Relay 2</v>
      </c>
      <c r="K6" s="74" t="s">
        <v>28</v>
      </c>
      <c r="L6" s="29">
        <v>2</v>
      </c>
      <c r="M6" s="16"/>
      <c r="N6" s="16" t="s">
        <v>146</v>
      </c>
    </row>
    <row r="7" spans="1:27" ht="15.75" customHeight="1" x14ac:dyDescent="0.2">
      <c r="A7" s="7" t="s">
        <v>2</v>
      </c>
      <c r="B7" s="9">
        <v>400</v>
      </c>
      <c r="C7" s="1" t="s">
        <v>3</v>
      </c>
      <c r="D7" s="9">
        <v>5</v>
      </c>
      <c r="E7" s="1"/>
      <c r="F7" s="104" t="s">
        <v>52</v>
      </c>
      <c r="G7" s="104"/>
      <c r="H7" s="1"/>
      <c r="I7" s="29">
        <v>6</v>
      </c>
      <c r="J7" s="28">
        <v>0</v>
      </c>
      <c r="K7" s="72">
        <v>6</v>
      </c>
      <c r="L7" s="28">
        <v>0</v>
      </c>
      <c r="M7" s="7" t="s">
        <v>23</v>
      </c>
      <c r="N7" s="28">
        <v>0</v>
      </c>
      <c r="O7" t="s">
        <v>23</v>
      </c>
    </row>
    <row r="8" spans="1:27" ht="15.75" customHeight="1" x14ac:dyDescent="0.2">
      <c r="A8" s="7" t="s">
        <v>4</v>
      </c>
      <c r="B8" s="9">
        <v>300</v>
      </c>
      <c r="C8" t="s">
        <v>13</v>
      </c>
      <c r="F8" s="24">
        <f>ROUND($B8/'Relay 1'!$L$1*$B$6,2)</f>
        <v>300</v>
      </c>
      <c r="G8" s="7" t="s">
        <v>13</v>
      </c>
      <c r="I8" s="10">
        <v>1</v>
      </c>
      <c r="J8" s="28">
        <v>0</v>
      </c>
      <c r="K8" s="72">
        <v>1</v>
      </c>
      <c r="L8" s="28">
        <v>0</v>
      </c>
      <c r="M8" s="7" t="s">
        <v>23</v>
      </c>
      <c r="N8" s="28">
        <v>0</v>
      </c>
      <c r="O8" t="s">
        <v>23</v>
      </c>
    </row>
    <row r="9" spans="1:27" ht="15.75" customHeight="1" x14ac:dyDescent="0.2">
      <c r="A9" s="7" t="s">
        <v>5</v>
      </c>
      <c r="B9" s="12">
        <f>ROUND(B8*D7/B7,2)</f>
        <v>3.75</v>
      </c>
      <c r="C9" t="s">
        <v>13</v>
      </c>
      <c r="F9" s="24">
        <f>ROUND(F8*D7/B7,2)</f>
        <v>3.75</v>
      </c>
      <c r="G9" s="7" t="s">
        <v>13</v>
      </c>
      <c r="I9" s="10">
        <v>1</v>
      </c>
      <c r="J9" s="28">
        <v>0</v>
      </c>
      <c r="K9" s="72">
        <v>1</v>
      </c>
      <c r="L9" s="28">
        <v>0</v>
      </c>
      <c r="M9" s="7" t="s">
        <v>23</v>
      </c>
      <c r="N9" s="28">
        <v>0</v>
      </c>
      <c r="O9" t="s">
        <v>23</v>
      </c>
    </row>
    <row r="10" spans="1:27" ht="15.75" customHeight="1" x14ac:dyDescent="0.2">
      <c r="A10" s="7" t="s">
        <v>6</v>
      </c>
      <c r="B10" s="9">
        <v>0.15</v>
      </c>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v>1950</v>
      </c>
      <c r="C13" t="s">
        <v>13</v>
      </c>
      <c r="F13" s="71">
        <f>IF(F$6=2,$B13/'Relay 1'!$L$1*$B$6/SQRT(3),IF(F$6=3,$B13/'Relay 1'!$L$1*$B$6*SQRT(3),$B13/'Relay 1'!$L$1*$B$6))</f>
        <v>1950</v>
      </c>
      <c r="G13" s="7" t="s">
        <v>13</v>
      </c>
    </row>
    <row r="14" spans="1:27" ht="15.75" customHeight="1" x14ac:dyDescent="0.2">
      <c r="A14" s="7" t="s">
        <v>71</v>
      </c>
      <c r="B14" s="9">
        <v>0.7</v>
      </c>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9" priority="1" stopIfTrue="1">
      <formula>$F$15</formula>
    </cfRule>
    <cfRule type="expression" dxfId="8" priority="2" stopIfTrue="1">
      <formula>$F$15</formula>
    </cfRule>
  </conditionalFormatting>
  <dataValidations count="2">
    <dataValidation type="decimal" operator="greaterThan" showInputMessage="1" showErrorMessage="1" sqref="M1" xr:uid="{00000000-0002-0000-0500-000000000000}">
      <formula1>0</formula1>
    </dataValidation>
    <dataValidation type="decimal" operator="greaterThan" showInputMessage="1" showErrorMessage="1" errorTitle="Operating Voltage" error="Operating Voltage must be greater than zero." sqref="B6" xr:uid="{00000000-0002-0000-05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0769"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440770"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440771"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440773"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440774"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440775"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440778"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440779"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440781"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440783" r:id="rId13" name="Drop Down 15">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440784"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440785"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440786"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440788"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440789"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440834" r:id="rId19" name="HideRelay1">
              <controlPr locked="0" defaultSize="0" print="0" autoFill="0" autoLine="0" autoPict="0" macro="[0]!CurveType_Change">
                <anchor moveWithCells="1">
                  <from>
                    <xdr:col>5</xdr:col>
                    <xdr:colOff>0</xdr:colOff>
                    <xdr:row>5</xdr:row>
                    <xdr:rowOff>0</xdr:rowOff>
                  </from>
                  <to>
                    <xdr:col>7</xdr:col>
                    <xdr:colOff>0</xdr:colOff>
                    <xdr:row>6</xdr:row>
                    <xdr:rowOff>19050</xdr:rowOff>
                  </to>
                </anchor>
              </controlPr>
            </control>
          </mc:Choice>
        </mc:AlternateContent>
        <mc:AlternateContent xmlns:mc="http://schemas.openxmlformats.org/markup-compatibility/2006">
          <mc:Choice Requires="x14">
            <control shapeId="1441310"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441311"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1"/>
  <dimension ref="A1:AA108"/>
  <sheetViews>
    <sheetView workbookViewId="0">
      <selection activeCell="B6" sqref="B6"/>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4</v>
      </c>
    </row>
    <row r="3" spans="1:27" x14ac:dyDescent="0.25">
      <c r="A3" s="18" t="s">
        <v>9</v>
      </c>
      <c r="B3" t="str">
        <f>IF($F$15=TRUE,"CONFIRM PICKUP", "")</f>
        <v/>
      </c>
      <c r="G3" s="8">
        <v>4</v>
      </c>
    </row>
    <row r="4" spans="1:27" ht="17.25" customHeight="1" x14ac:dyDescent="0.2">
      <c r="A4" s="7" t="s">
        <v>0</v>
      </c>
      <c r="B4" s="10">
        <v>1</v>
      </c>
      <c r="F4" s="8" t="b">
        <v>0</v>
      </c>
      <c r="J4" s="73"/>
      <c r="K4" s="73"/>
      <c r="L4" s="73"/>
    </row>
    <row r="5" spans="1:27" ht="17.25" customHeight="1" x14ac:dyDescent="0.2">
      <c r="A5" s="7" t="s">
        <v>50</v>
      </c>
      <c r="B5" s="99" t="s">
        <v>9</v>
      </c>
      <c r="F5" s="38" t="b">
        <v>0</v>
      </c>
      <c r="G5" s="39"/>
      <c r="I5" s="105" t="s">
        <v>49</v>
      </c>
      <c r="J5" s="106"/>
      <c r="K5" s="106"/>
      <c r="L5" s="106"/>
      <c r="M5" s="106"/>
      <c r="N5" s="107"/>
    </row>
    <row r="6" spans="1:27" ht="15.75" customHeight="1" x14ac:dyDescent="0.2">
      <c r="A6" s="7" t="s">
        <v>51</v>
      </c>
      <c r="B6" s="9">
        <v>11</v>
      </c>
      <c r="C6" t="s">
        <v>47</v>
      </c>
      <c r="F6" s="40" t="b">
        <v>0</v>
      </c>
      <c r="G6" s="41"/>
      <c r="I6" s="10" t="s">
        <v>25</v>
      </c>
      <c r="J6" s="22" t="str">
        <f>B5</f>
        <v>Relay 3</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v>200</v>
      </c>
      <c r="C8" t="s">
        <v>13</v>
      </c>
      <c r="F8" s="24">
        <f>ROUND($B8/'Relay 1'!$L$1*$B$6,2)</f>
        <v>200</v>
      </c>
      <c r="G8" s="7" t="s">
        <v>13</v>
      </c>
      <c r="I8" s="10">
        <v>1</v>
      </c>
      <c r="J8" s="28">
        <v>0</v>
      </c>
      <c r="K8" s="72">
        <v>1</v>
      </c>
      <c r="L8" s="28">
        <v>0</v>
      </c>
      <c r="M8" s="7" t="s">
        <v>23</v>
      </c>
      <c r="N8" s="28">
        <v>0</v>
      </c>
      <c r="O8" t="s">
        <v>23</v>
      </c>
    </row>
    <row r="9" spans="1:27" ht="15.75" customHeight="1" x14ac:dyDescent="0.2">
      <c r="A9" s="7" t="s">
        <v>5</v>
      </c>
      <c r="B9" s="12">
        <f>ROUND(B8*D7/B7,2)</f>
        <v>2.5</v>
      </c>
      <c r="C9" t="s">
        <v>13</v>
      </c>
      <c r="F9" s="24">
        <f>ROUND(F8*D7/B7,2)</f>
        <v>2.5</v>
      </c>
      <c r="G9" s="7" t="s">
        <v>13</v>
      </c>
      <c r="I9" s="10">
        <v>1</v>
      </c>
      <c r="J9" s="28">
        <v>0</v>
      </c>
      <c r="K9" s="72">
        <v>1</v>
      </c>
      <c r="L9" s="28">
        <v>0</v>
      </c>
      <c r="M9" s="7" t="s">
        <v>23</v>
      </c>
      <c r="N9" s="28">
        <v>0</v>
      </c>
      <c r="O9" t="s">
        <v>23</v>
      </c>
    </row>
    <row r="10" spans="1:27" ht="15.75" customHeight="1" x14ac:dyDescent="0.2">
      <c r="A10" s="7" t="s">
        <v>6</v>
      </c>
      <c r="B10" s="9">
        <v>0.1</v>
      </c>
      <c r="F10" s="20"/>
      <c r="G10" s="21"/>
      <c r="I10" s="49"/>
      <c r="J10" s="50"/>
      <c r="K10" s="50"/>
      <c r="L10" s="51"/>
    </row>
    <row r="11" spans="1:27" ht="15.75" customHeight="1" x14ac:dyDescent="0.2">
      <c r="A11" s="7" t="s">
        <v>18</v>
      </c>
      <c r="B11" s="8">
        <v>2</v>
      </c>
      <c r="F11" s="11"/>
      <c r="G11" s="14"/>
    </row>
    <row r="12" spans="1:27" ht="15.75" customHeight="1" x14ac:dyDescent="0.2">
      <c r="B12" s="8"/>
      <c r="F12" s="15"/>
      <c r="G12" s="22"/>
    </row>
    <row r="13" spans="1:27" ht="15.75" customHeight="1" x14ac:dyDescent="0.2">
      <c r="A13" s="7" t="s">
        <v>46</v>
      </c>
      <c r="B13" s="9">
        <v>1300</v>
      </c>
      <c r="C13" t="s">
        <v>13</v>
      </c>
      <c r="F13" s="71">
        <f>IF(F$6=2,$B13/'Relay 1'!$L$1*$B$6/SQRT(3),IF(F$6=3,$B13/'Relay 1'!$L$1*$B$6*SQRT(3),$B13/'Relay 1'!$L$1*$B$6))</f>
        <v>1300</v>
      </c>
      <c r="G13" s="7" t="s">
        <v>13</v>
      </c>
    </row>
    <row r="14" spans="1:27" ht="15.75" customHeight="1" x14ac:dyDescent="0.2">
      <c r="A14" s="7" t="s">
        <v>71</v>
      </c>
      <c r="B14" s="9">
        <v>0.1</v>
      </c>
      <c r="C14" t="s">
        <v>23</v>
      </c>
    </row>
    <row r="15" spans="1:27" ht="15.75" customHeight="1" x14ac:dyDescent="0.2">
      <c r="F15" t="b">
        <v>0</v>
      </c>
    </row>
    <row r="16" spans="1:27" ht="15.75" customHeight="1" x14ac:dyDescent="0.2">
      <c r="A16" s="7" t="s">
        <v>38</v>
      </c>
      <c r="B16" s="9"/>
      <c r="C16" t="s">
        <v>23</v>
      </c>
    </row>
    <row r="17" spans="1:7" ht="15.75" customHeight="1" x14ac:dyDescent="0.2">
      <c r="B17" s="8"/>
    </row>
    <row r="18" spans="1:7" ht="15.75" customHeight="1" x14ac:dyDescent="0.2">
      <c r="A18" s="7" t="s">
        <v>39</v>
      </c>
      <c r="B18" s="7">
        <v>20</v>
      </c>
      <c r="C18" t="s">
        <v>24</v>
      </c>
    </row>
    <row r="20" spans="1:7" ht="15.75" customHeight="1" x14ac:dyDescent="0.2">
      <c r="A20" s="7" t="s">
        <v>63</v>
      </c>
      <c r="B20" s="9"/>
      <c r="C20" t="s">
        <v>135</v>
      </c>
    </row>
    <row r="21" spans="1:7" ht="15.75" customHeight="1" x14ac:dyDescent="0.2">
      <c r="B21" s="9"/>
      <c r="C21" t="s">
        <v>13</v>
      </c>
    </row>
    <row r="22" spans="1:7" ht="15.75" customHeight="1" x14ac:dyDescent="0.2">
      <c r="B22" s="8"/>
    </row>
    <row r="23" spans="1:7" ht="15.75" customHeight="1" x14ac:dyDescent="0.2">
      <c r="A23" s="7" t="s">
        <v>80</v>
      </c>
      <c r="B23" s="8">
        <v>1</v>
      </c>
    </row>
    <row r="24" spans="1:7" ht="15.75" customHeight="1" x14ac:dyDescent="0.2">
      <c r="B24" s="8"/>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0" spans="1:7" ht="15.75" customHeight="1" x14ac:dyDescent="0.2">
      <c r="B30" s="8"/>
    </row>
    <row r="31" spans="1:7" ht="15.75" customHeight="1" x14ac:dyDescent="0.2">
      <c r="B31" s="8"/>
    </row>
    <row r="32" spans="1:7" ht="15.75" customHeight="1" x14ac:dyDescent="0.2">
      <c r="B32" s="8"/>
    </row>
    <row r="33" spans="1:4" ht="15.75" customHeight="1" x14ac:dyDescent="0.2">
      <c r="B33" s="8"/>
    </row>
    <row r="34" spans="1:4" ht="15.75" customHeight="1" x14ac:dyDescent="0.2">
      <c r="A34" s="52" t="s">
        <v>217</v>
      </c>
      <c r="B34" s="8"/>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5" spans="1:4" ht="15.75" customHeight="1" x14ac:dyDescent="0.2">
      <c r="B45" s="8"/>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c r="B46" s="8"/>
    </row>
    <row r="47" spans="1:4" ht="15.75" customHeight="1" x14ac:dyDescent="0.2">
      <c r="B47" s="8"/>
    </row>
    <row r="48" spans="1:4" ht="15.75" customHeight="1" x14ac:dyDescent="0.2">
      <c r="B48" s="8"/>
    </row>
    <row r="49" spans="2:2" ht="15.75" customHeight="1" x14ac:dyDescent="0.2">
      <c r="B49" s="8"/>
    </row>
    <row r="50" spans="2:2" ht="15.75" customHeight="1" x14ac:dyDescent="0.2">
      <c r="B50" s="8"/>
    </row>
    <row r="51" spans="2:2" ht="15.75" customHeight="1" x14ac:dyDescent="0.2">
      <c r="B51" s="8"/>
    </row>
    <row r="52" spans="2:2" ht="15.75" customHeight="1" x14ac:dyDescent="0.2">
      <c r="B52" s="8"/>
    </row>
    <row r="53" spans="2:2" ht="15.75" customHeight="1" x14ac:dyDescent="0.2">
      <c r="B53" s="8"/>
    </row>
    <row r="54" spans="2:2" ht="15.75" customHeight="1" x14ac:dyDescent="0.2">
      <c r="B54" s="8"/>
    </row>
    <row r="55" spans="2:2" ht="15.75" customHeight="1" x14ac:dyDescent="0.2">
      <c r="B55" s="8"/>
    </row>
    <row r="56" spans="2:2" ht="15.75" customHeight="1" x14ac:dyDescent="0.2">
      <c r="B56" s="8"/>
    </row>
    <row r="57" spans="2:2" ht="15.75" customHeight="1" x14ac:dyDescent="0.2">
      <c r="B57" s="8"/>
    </row>
    <row r="58" spans="2:2" ht="15.75" customHeight="1" x14ac:dyDescent="0.2">
      <c r="B58" s="8"/>
    </row>
    <row r="59" spans="2:2" ht="15.75" customHeight="1" x14ac:dyDescent="0.2">
      <c r="B59" s="8"/>
    </row>
    <row r="60" spans="2:2" ht="15.75" customHeight="1" x14ac:dyDescent="0.2">
      <c r="B60" s="8"/>
    </row>
    <row r="61" spans="2:2" ht="15.75" customHeight="1" x14ac:dyDescent="0.2">
      <c r="B61" s="8">
        <v>5</v>
      </c>
    </row>
    <row r="62" spans="2:2" ht="15.75" customHeight="1" x14ac:dyDescent="0.2">
      <c r="B62" s="8">
        <v>2.2999999999999998</v>
      </c>
    </row>
    <row r="63" spans="2:2" ht="15.75" customHeight="1" x14ac:dyDescent="0.2">
      <c r="B63" s="8">
        <v>0.51</v>
      </c>
    </row>
    <row r="64" spans="2:2" ht="15.75" customHeight="1" x14ac:dyDescent="0.2">
      <c r="B64" s="8">
        <v>0.3</v>
      </c>
    </row>
    <row r="65" spans="2:2" ht="15.75" customHeight="1" x14ac:dyDescent="0.2">
      <c r="B65" s="8">
        <v>0.17</v>
      </c>
    </row>
    <row r="66" spans="2:2" ht="15.75" customHeight="1" x14ac:dyDescent="0.2">
      <c r="B66" s="8">
        <v>0.1</v>
      </c>
    </row>
    <row r="67" spans="2:2" ht="15.75" customHeight="1" x14ac:dyDescent="0.2">
      <c r="B67" s="8"/>
    </row>
    <row r="68" spans="2:2" ht="15.75" customHeight="1" x14ac:dyDescent="0.2">
      <c r="B68" s="8"/>
    </row>
    <row r="69" spans="2:2" ht="15.75" customHeight="1" x14ac:dyDescent="0.2">
      <c r="B69" s="8"/>
    </row>
    <row r="70" spans="2:2" ht="15.75" customHeight="1" x14ac:dyDescent="0.2">
      <c r="B70" s="8"/>
    </row>
    <row r="71" spans="2:2" ht="15.75" customHeight="1" x14ac:dyDescent="0.2">
      <c r="B71" s="8"/>
    </row>
    <row r="72" spans="2:2" ht="15.75" customHeight="1" x14ac:dyDescent="0.2">
      <c r="B72" s="8"/>
    </row>
    <row r="73" spans="2:2" ht="15.75" customHeight="1" x14ac:dyDescent="0.2">
      <c r="B73" s="8"/>
    </row>
    <row r="74" spans="2:2" ht="15.75" customHeight="1" x14ac:dyDescent="0.2">
      <c r="B74" s="8"/>
    </row>
    <row r="75" spans="2:2" ht="15.75" customHeight="1" x14ac:dyDescent="0.2">
      <c r="B75" s="8"/>
    </row>
    <row r="76" spans="2:2" ht="15.75" customHeight="1" x14ac:dyDescent="0.2">
      <c r="B76" s="8"/>
    </row>
    <row r="77" spans="2:2" ht="15.75" customHeight="1" x14ac:dyDescent="0.2">
      <c r="B77" s="8"/>
    </row>
    <row r="78" spans="2:2" ht="15.75" customHeight="1" x14ac:dyDescent="0.2">
      <c r="B78" s="8"/>
    </row>
    <row r="79" spans="2:2" ht="15.75" customHeight="1" x14ac:dyDescent="0.2">
      <c r="B79" s="8"/>
    </row>
    <row r="80" spans="2:2" ht="15.75" customHeight="1" x14ac:dyDescent="0.2">
      <c r="B80" s="8"/>
    </row>
    <row r="81" spans="2:2" ht="15.75" customHeight="1" x14ac:dyDescent="0.2">
      <c r="B81" s="8"/>
    </row>
    <row r="82" spans="2:2" ht="15.75" customHeight="1" x14ac:dyDescent="0.2">
      <c r="B82" s="8"/>
    </row>
    <row r="83" spans="2:2" ht="15.75" customHeight="1" x14ac:dyDescent="0.2">
      <c r="B83" s="8"/>
    </row>
    <row r="84" spans="2:2" ht="15.75" customHeight="1" x14ac:dyDescent="0.2">
      <c r="B84" s="8"/>
    </row>
    <row r="85" spans="2:2" ht="15.75" customHeight="1" x14ac:dyDescent="0.2">
      <c r="B85" s="8"/>
    </row>
    <row r="86" spans="2:2" ht="15.75" customHeight="1" x14ac:dyDescent="0.2">
      <c r="B86" s="8"/>
    </row>
    <row r="87" spans="2:2" ht="15.75" customHeight="1" x14ac:dyDescent="0.2">
      <c r="B87" s="8"/>
    </row>
    <row r="88" spans="2:2" ht="15.75" customHeight="1" x14ac:dyDescent="0.2">
      <c r="B88" s="8"/>
    </row>
    <row r="89" spans="2:2" ht="15.75" customHeight="1" x14ac:dyDescent="0.2">
      <c r="B89" s="8"/>
    </row>
    <row r="90" spans="2:2" ht="15.75" customHeight="1" x14ac:dyDescent="0.2">
      <c r="B90" s="8"/>
    </row>
    <row r="91" spans="2:2" ht="15.75" customHeight="1" x14ac:dyDescent="0.2">
      <c r="B91" s="8"/>
    </row>
    <row r="92" spans="2:2" ht="15.75" customHeight="1" x14ac:dyDescent="0.2">
      <c r="B92" s="8"/>
    </row>
    <row r="93" spans="2:2" ht="15.75" customHeight="1" x14ac:dyDescent="0.2">
      <c r="B93" s="8"/>
    </row>
    <row r="94" spans="2:2" ht="15.75" customHeight="1" x14ac:dyDescent="0.2">
      <c r="B94" s="8"/>
    </row>
    <row r="95" spans="2:2" ht="15.75" customHeight="1" x14ac:dyDescent="0.2">
      <c r="B95" s="8"/>
    </row>
    <row r="96" spans="2:2" ht="15.75" customHeight="1" x14ac:dyDescent="0.2">
      <c r="B96" s="8"/>
    </row>
    <row r="97" spans="2:2" ht="15.75" customHeight="1" x14ac:dyDescent="0.2">
      <c r="B97" s="8"/>
    </row>
    <row r="98" spans="2:2" ht="15.75" customHeight="1" x14ac:dyDescent="0.2">
      <c r="B98" s="8"/>
    </row>
    <row r="99" spans="2:2" ht="15.75" customHeight="1" x14ac:dyDescent="0.2">
      <c r="B99" s="8"/>
    </row>
    <row r="100" spans="2:2" ht="15.75" customHeight="1" x14ac:dyDescent="0.2">
      <c r="B100" s="8"/>
    </row>
    <row r="101" spans="2:2" ht="15.75" customHeight="1" x14ac:dyDescent="0.2">
      <c r="B101" s="8"/>
    </row>
    <row r="102" spans="2:2" ht="15.75" customHeight="1" x14ac:dyDescent="0.2">
      <c r="B102" s="8"/>
    </row>
    <row r="103" spans="2:2" ht="15.75" customHeight="1" x14ac:dyDescent="0.2">
      <c r="B103" s="8"/>
    </row>
    <row r="104" spans="2:2" ht="15.75" customHeight="1" x14ac:dyDescent="0.2">
      <c r="B104" s="8"/>
    </row>
    <row r="105" spans="2:2" ht="15.75" customHeight="1" x14ac:dyDescent="0.2">
      <c r="B105" s="8"/>
    </row>
    <row r="106" spans="2:2" ht="15.75" customHeight="1" x14ac:dyDescent="0.2">
      <c r="B106" s="8"/>
    </row>
    <row r="107" spans="2:2" ht="15.75" customHeight="1" x14ac:dyDescent="0.2">
      <c r="B107" s="8"/>
    </row>
    <row r="108" spans="2:2" ht="15.75" customHeight="1" x14ac:dyDescent="0.2">
      <c r="B108" s="8"/>
    </row>
  </sheetData>
  <mergeCells count="2">
    <mergeCell ref="F7:G7"/>
    <mergeCell ref="I5:N5"/>
  </mergeCells>
  <phoneticPr fontId="8" type="noConversion"/>
  <conditionalFormatting sqref="B3">
    <cfRule type="expression" dxfId="7" priority="1" stopIfTrue="1">
      <formula>$F$15</formula>
    </cfRule>
  </conditionalFormatting>
  <dataValidations count="2">
    <dataValidation type="decimal" operator="greaterThan" showInputMessage="1" showErrorMessage="1" sqref="M1" xr:uid="{00000000-0002-0000-0600-000000000000}">
      <formula1>0</formula1>
    </dataValidation>
    <dataValidation type="decimal" operator="greaterThan" showInputMessage="1" showErrorMessage="1" errorTitle="Operating Voltage" error="Operating Voltage must be greater than zero." sqref="B6" xr:uid="{00000000-0002-0000-06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02561"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602562"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602563"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602565"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602566"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602567"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602569"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602570"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602572"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602574"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602575"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602576"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602577"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602578"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602579"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602623" r:id="rId19" name="HideRelay1">
              <controlPr locked="0" defaultSize="0" print="0" autoFill="0" autoLine="0" autoPict="0" macro="[0]!CurveType_Change">
                <anchor moveWithCells="1">
                  <from>
                    <xdr:col>5</xdr:col>
                    <xdr:colOff>0</xdr:colOff>
                    <xdr:row>5</xdr:row>
                    <xdr:rowOff>0</xdr:rowOff>
                  </from>
                  <to>
                    <xdr:col>7</xdr:col>
                    <xdr:colOff>0</xdr:colOff>
                    <xdr:row>6</xdr:row>
                    <xdr:rowOff>19050</xdr:rowOff>
                  </to>
                </anchor>
              </controlPr>
            </control>
          </mc:Choice>
        </mc:AlternateContent>
        <mc:AlternateContent xmlns:mc="http://schemas.openxmlformats.org/markup-compatibility/2006">
          <mc:Choice Requires="x14">
            <control shapeId="1603099"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603100"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11"/>
  <dimension ref="A1:AA46"/>
  <sheetViews>
    <sheetView workbookViewId="0">
      <selection activeCell="B6" sqref="B6"/>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5</v>
      </c>
    </row>
    <row r="3" spans="1:27" x14ac:dyDescent="0.25">
      <c r="A3" s="18" t="s">
        <v>10</v>
      </c>
      <c r="B3" t="str">
        <f>IF($F$15=TRUE,"CONFIRM PICKUP", "")</f>
        <v/>
      </c>
      <c r="G3" s="8">
        <v>3</v>
      </c>
    </row>
    <row r="4" spans="1:27" ht="17.25" customHeight="1" x14ac:dyDescent="0.2">
      <c r="A4" s="7" t="s">
        <v>0</v>
      </c>
      <c r="B4" s="10">
        <v>15</v>
      </c>
      <c r="F4" s="8" t="b">
        <v>0</v>
      </c>
      <c r="J4" s="73"/>
      <c r="K4" s="73"/>
      <c r="L4" s="73"/>
    </row>
    <row r="5" spans="1:27" ht="17.25" customHeight="1" x14ac:dyDescent="0.2">
      <c r="A5" s="7" t="s">
        <v>50</v>
      </c>
      <c r="B5" s="99" t="s">
        <v>10</v>
      </c>
      <c r="F5" s="42" t="b">
        <v>0</v>
      </c>
      <c r="G5" s="37"/>
      <c r="I5" s="105" t="s">
        <v>49</v>
      </c>
      <c r="J5" s="106"/>
      <c r="K5" s="106"/>
      <c r="L5" s="106"/>
      <c r="M5" s="106"/>
      <c r="N5" s="107"/>
    </row>
    <row r="6" spans="1:27" ht="15.75" customHeight="1" x14ac:dyDescent="0.2">
      <c r="A6" s="7" t="s">
        <v>51</v>
      </c>
      <c r="B6" s="9">
        <v>11</v>
      </c>
      <c r="C6" t="s">
        <v>47</v>
      </c>
      <c r="F6" s="40" t="b">
        <v>0</v>
      </c>
      <c r="G6" s="41"/>
      <c r="I6" s="10" t="s">
        <v>25</v>
      </c>
      <c r="J6" s="22" t="str">
        <f>B5</f>
        <v>Relay 4</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v>300</v>
      </c>
      <c r="C8" t="s">
        <v>13</v>
      </c>
      <c r="F8" s="24">
        <f>ROUND($B8/'Relay 1'!$L$1*$B$6,2)</f>
        <v>300</v>
      </c>
      <c r="G8" s="7" t="s">
        <v>13</v>
      </c>
      <c r="I8" s="10">
        <v>1</v>
      </c>
      <c r="J8" s="28">
        <v>0</v>
      </c>
      <c r="K8" s="72">
        <v>1</v>
      </c>
      <c r="L8" s="28">
        <v>0</v>
      </c>
      <c r="M8" s="7" t="s">
        <v>23</v>
      </c>
      <c r="N8" s="28">
        <v>0</v>
      </c>
      <c r="O8" t="s">
        <v>23</v>
      </c>
    </row>
    <row r="9" spans="1:27" ht="15.75" customHeight="1" x14ac:dyDescent="0.2">
      <c r="A9" s="7" t="s">
        <v>5</v>
      </c>
      <c r="B9" s="12">
        <f>ROUND(B8*D7/B7,2)</f>
        <v>3.75</v>
      </c>
      <c r="C9" t="s">
        <v>13</v>
      </c>
      <c r="F9" s="24">
        <f>ROUND(F8*D7/B7,2)</f>
        <v>3.75</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2</v>
      </c>
      <c r="F11" s="11"/>
      <c r="G11" s="14"/>
    </row>
    <row r="12" spans="1:27" ht="15.75" customHeight="1" x14ac:dyDescent="0.2">
      <c r="F12" s="15"/>
      <c r="G12" s="22"/>
    </row>
    <row r="13" spans="1:27" ht="15.75" customHeight="1" x14ac:dyDescent="0.2">
      <c r="A13" s="7" t="s">
        <v>46</v>
      </c>
      <c r="B13" s="9">
        <v>2210</v>
      </c>
      <c r="C13" t="s">
        <v>13</v>
      </c>
      <c r="F13" s="71">
        <f>IF(F$6=2,$B13/'Relay 1'!$L$1*$B$6/SQRT(3),IF(F$6=3,$B13/'Relay 1'!$L$1*$B$6*SQRT(3),$B13/'Relay 1'!$L$1*$B$6))</f>
        <v>2210</v>
      </c>
      <c r="G13" s="7" t="s">
        <v>13</v>
      </c>
    </row>
    <row r="14" spans="1:27" ht="15.75" customHeight="1" x14ac:dyDescent="0.2">
      <c r="A14" s="7" t="s">
        <v>71</v>
      </c>
      <c r="B14" s="9">
        <v>0.45</v>
      </c>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v>20</v>
      </c>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6" priority="1" stopIfTrue="1">
      <formula>$F$15</formula>
    </cfRule>
  </conditionalFormatting>
  <dataValidations count="2">
    <dataValidation type="decimal" operator="greaterThan" showInputMessage="1" showErrorMessage="1" sqref="M1" xr:uid="{00000000-0002-0000-0700-000000000000}">
      <formula1>0</formula1>
    </dataValidation>
    <dataValidation type="decimal" operator="greaterThan" showInputMessage="1" showErrorMessage="1" errorTitle="Operating Voltage" error="Operating Voltage must be greater than zero." sqref="B6" xr:uid="{00000000-0002-0000-07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03585"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603586"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603587"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603589"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603590"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603591"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603593"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603594"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603596"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603598"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603599"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603600"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603601"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603602"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603603"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603647" r:id="rId19" name="HideRelay1">
              <controlPr locked="0" defaultSize="0" print="0" autoFill="0" autoLine="0" autoPict="0" macro="[0]!CurveType_Change">
                <anchor moveWithCells="1">
                  <from>
                    <xdr:col>5</xdr:col>
                    <xdr:colOff>0</xdr:colOff>
                    <xdr:row>5</xdr:row>
                    <xdr:rowOff>0</xdr:rowOff>
                  </from>
                  <to>
                    <xdr:col>7</xdr:col>
                    <xdr:colOff>0</xdr:colOff>
                    <xdr:row>6</xdr:row>
                    <xdr:rowOff>19050</xdr:rowOff>
                  </to>
                </anchor>
              </controlPr>
            </control>
          </mc:Choice>
        </mc:AlternateContent>
        <mc:AlternateContent xmlns:mc="http://schemas.openxmlformats.org/markup-compatibility/2006">
          <mc:Choice Requires="x14">
            <control shapeId="1604123"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604124"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111"/>
  <dimension ref="A1:AA46"/>
  <sheetViews>
    <sheetView workbookViewId="0">
      <selection activeCell="C4" sqref="C4"/>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6</v>
      </c>
    </row>
    <row r="3" spans="1:27" x14ac:dyDescent="0.25">
      <c r="A3" s="18" t="s">
        <v>11</v>
      </c>
      <c r="B3" t="str">
        <f>IF($F$15=TRUE,"CONFIRM PICKUP", "")</f>
        <v/>
      </c>
      <c r="G3" s="8">
        <v>7</v>
      </c>
    </row>
    <row r="4" spans="1:27" ht="17.25" customHeight="1" x14ac:dyDescent="0.2">
      <c r="A4" s="7" t="s">
        <v>0</v>
      </c>
      <c r="B4" s="10">
        <v>1</v>
      </c>
      <c r="F4" s="8" t="b">
        <v>0</v>
      </c>
      <c r="J4" s="73"/>
      <c r="K4" s="73"/>
      <c r="L4" s="73"/>
    </row>
    <row r="5" spans="1:27" ht="17.25" customHeight="1" x14ac:dyDescent="0.2">
      <c r="A5" s="7" t="s">
        <v>50</v>
      </c>
      <c r="B5" s="99" t="s">
        <v>11</v>
      </c>
      <c r="F5" s="42" t="b">
        <v>0</v>
      </c>
      <c r="G5" s="37"/>
      <c r="I5" s="105" t="s">
        <v>49</v>
      </c>
      <c r="J5" s="106"/>
      <c r="K5" s="106"/>
      <c r="L5" s="106"/>
      <c r="M5" s="106"/>
      <c r="N5" s="107"/>
    </row>
    <row r="6" spans="1:27" ht="15.75" customHeight="1" x14ac:dyDescent="0.2">
      <c r="A6" s="7" t="s">
        <v>51</v>
      </c>
      <c r="B6" s="9">
        <v>11</v>
      </c>
      <c r="C6" t="s">
        <v>47</v>
      </c>
      <c r="F6" s="40" t="b">
        <v>0</v>
      </c>
      <c r="G6" s="41"/>
      <c r="I6" s="10" t="s">
        <v>25</v>
      </c>
      <c r="J6" s="22" t="str">
        <f>B5</f>
        <v>Relay 5</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v>200</v>
      </c>
      <c r="C8" t="s">
        <v>13</v>
      </c>
      <c r="F8" s="24">
        <f>ROUND($B8/'Relay 1'!$L$1*$B$6,2)</f>
        <v>200</v>
      </c>
      <c r="G8" s="7" t="s">
        <v>13</v>
      </c>
      <c r="I8" s="10">
        <v>1</v>
      </c>
      <c r="J8" s="28">
        <v>0</v>
      </c>
      <c r="K8" s="72">
        <v>1</v>
      </c>
      <c r="L8" s="28">
        <v>0</v>
      </c>
      <c r="M8" s="7" t="s">
        <v>23</v>
      </c>
      <c r="N8" s="28">
        <v>0</v>
      </c>
      <c r="O8" t="s">
        <v>23</v>
      </c>
    </row>
    <row r="9" spans="1:27" ht="15.75" customHeight="1" x14ac:dyDescent="0.2">
      <c r="A9" s="7" t="s">
        <v>5</v>
      </c>
      <c r="B9" s="12">
        <f>ROUND(B8*D7/B7,2)</f>
        <v>2.5</v>
      </c>
      <c r="C9" t="s">
        <v>13</v>
      </c>
      <c r="F9" s="24">
        <f>ROUND(F8*D7/B7,2)</f>
        <v>2.5</v>
      </c>
      <c r="G9" s="7" t="s">
        <v>13</v>
      </c>
      <c r="I9" s="10">
        <v>1</v>
      </c>
      <c r="J9" s="28">
        <v>0</v>
      </c>
      <c r="K9" s="72">
        <v>7</v>
      </c>
      <c r="L9" s="28">
        <v>0</v>
      </c>
      <c r="M9" s="7" t="s">
        <v>23</v>
      </c>
      <c r="N9" s="28">
        <v>0</v>
      </c>
      <c r="O9" t="s">
        <v>23</v>
      </c>
    </row>
    <row r="10" spans="1:27" ht="15.75" customHeight="1" x14ac:dyDescent="0.2">
      <c r="A10" s="7" t="s">
        <v>6</v>
      </c>
      <c r="B10" s="9">
        <v>0.2</v>
      </c>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v>1500</v>
      </c>
      <c r="C13" t="s">
        <v>13</v>
      </c>
      <c r="F13" s="71">
        <f>IF(F$6=2,$B13/'Relay 1'!$L$1*$B$6/SQRT(3),IF(F$6=3,$B13/'Relay 1'!$L$1*$B$6*SQRT(3),$B13/'Relay 1'!$L$1*$B$6))</f>
        <v>1500</v>
      </c>
      <c r="G13" s="7" t="s">
        <v>13</v>
      </c>
    </row>
    <row r="14" spans="1:27" ht="15.75" customHeight="1" x14ac:dyDescent="0.2">
      <c r="A14" s="7" t="s">
        <v>71</v>
      </c>
      <c r="B14" s="9">
        <v>0.15</v>
      </c>
      <c r="C14" t="s">
        <v>23</v>
      </c>
    </row>
    <row r="15" spans="1:27" ht="15.75" customHeight="1" x14ac:dyDescent="0.2">
      <c r="F15" t="b">
        <v>0</v>
      </c>
    </row>
    <row r="16" spans="1:27" ht="15.75" customHeight="1" x14ac:dyDescent="0.2">
      <c r="A16" s="7" t="s">
        <v>38</v>
      </c>
      <c r="B16" s="9"/>
      <c r="C16" t="s">
        <v>23</v>
      </c>
      <c r="F16" t="b">
        <v>0</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5" priority="1" stopIfTrue="1">
      <formula>$F$15</formula>
    </cfRule>
  </conditionalFormatting>
  <dataValidations count="2">
    <dataValidation type="decimal" operator="greaterThan" showInputMessage="1" showErrorMessage="1" sqref="M1" xr:uid="{00000000-0002-0000-0800-000000000000}">
      <formula1>0</formula1>
    </dataValidation>
    <dataValidation type="decimal" operator="greaterThan" showInputMessage="1" showErrorMessage="1" errorTitle="Operating Voltage" error="Operating Voltage must be greater than zero." sqref="B6" xr:uid="{00000000-0002-0000-08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04609"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604610"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604611"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604613" r:id="rId7" name="Relay1Fault1">
              <controlPr defaultSize="0" autoLine="0" autoPict="0" macro="[0]!grading">
                <anchor moveWithCells="1">
                  <from>
                    <xdr:col>8</xdr:col>
                    <xdr:colOff>0</xdr:colOff>
                    <xdr:row>6</xdr:row>
                    <xdr:rowOff>9525</xdr:rowOff>
                  </from>
                  <to>
                    <xdr:col>9</xdr:col>
                    <xdr:colOff>0</xdr:colOff>
                    <xdr:row>7</xdr:row>
                    <xdr:rowOff>9525</xdr:rowOff>
                  </to>
                </anchor>
              </controlPr>
            </control>
          </mc:Choice>
        </mc:AlternateContent>
        <mc:AlternateContent xmlns:mc="http://schemas.openxmlformats.org/markup-compatibility/2006">
          <mc:Choice Requires="x14">
            <control shapeId="1604614"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604615"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604617"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604618"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604620"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604622"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604623"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604624"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604625"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604626"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604627"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604671"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605147"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605148"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111"/>
  <dimension ref="A1:AA46"/>
  <sheetViews>
    <sheetView workbookViewId="0">
      <selection activeCell="F23" sqref="F23"/>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7</v>
      </c>
    </row>
    <row r="3" spans="1:27" x14ac:dyDescent="0.25">
      <c r="A3" s="18" t="s">
        <v>65</v>
      </c>
      <c r="B3" t="str">
        <f>IF($F$15=TRUE,"CONFIRM PICKUP", "")</f>
        <v/>
      </c>
      <c r="G3" s="8">
        <v>10</v>
      </c>
    </row>
    <row r="4" spans="1:27" ht="17.25" customHeight="1" x14ac:dyDescent="0.2">
      <c r="A4" s="7" t="s">
        <v>0</v>
      </c>
      <c r="B4" s="10">
        <v>1</v>
      </c>
      <c r="F4" s="8" t="b">
        <v>0</v>
      </c>
      <c r="J4" s="73"/>
      <c r="K4" s="73"/>
      <c r="L4" s="73"/>
    </row>
    <row r="5" spans="1:27" ht="17.25" customHeight="1" x14ac:dyDescent="0.2">
      <c r="A5" s="7" t="s">
        <v>50</v>
      </c>
      <c r="B5" s="99" t="s">
        <v>65</v>
      </c>
      <c r="F5" s="42" t="b">
        <v>0</v>
      </c>
      <c r="G5" s="37"/>
      <c r="I5" s="105" t="s">
        <v>49</v>
      </c>
      <c r="J5" s="106"/>
      <c r="K5" s="106"/>
      <c r="L5" s="106"/>
      <c r="M5" s="106"/>
      <c r="N5" s="107"/>
    </row>
    <row r="6" spans="1:27" ht="15.75" customHeight="1" x14ac:dyDescent="0.2">
      <c r="A6" s="7" t="s">
        <v>51</v>
      </c>
      <c r="B6" s="9">
        <v>11</v>
      </c>
      <c r="C6" t="s">
        <v>47</v>
      </c>
      <c r="F6" s="40" t="b">
        <v>1</v>
      </c>
      <c r="G6" s="41"/>
      <c r="I6" s="10" t="s">
        <v>25</v>
      </c>
      <c r="J6" s="22" t="str">
        <f>B5</f>
        <v>Relay 6</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c r="C8" t="s">
        <v>13</v>
      </c>
      <c r="F8" s="24">
        <f>ROUND($B8/'Relay 1'!$L$1*$B$6,2)</f>
        <v>0</v>
      </c>
      <c r="G8" s="7" t="s">
        <v>13</v>
      </c>
      <c r="I8" s="10">
        <v>1</v>
      </c>
      <c r="J8" s="28">
        <v>0</v>
      </c>
      <c r="K8" s="72">
        <v>1</v>
      </c>
      <c r="L8" s="28">
        <v>0</v>
      </c>
      <c r="M8" s="7" t="s">
        <v>23</v>
      </c>
      <c r="N8" s="28">
        <v>0</v>
      </c>
      <c r="O8" t="s">
        <v>23</v>
      </c>
    </row>
    <row r="9" spans="1:27" ht="15.75" customHeight="1" x14ac:dyDescent="0.2">
      <c r="A9" s="7" t="s">
        <v>5</v>
      </c>
      <c r="B9" s="12">
        <f>ROUND(B8*D7/B7,2)</f>
        <v>0</v>
      </c>
      <c r="C9" t="s">
        <v>13</v>
      </c>
      <c r="F9" s="24">
        <f>ROUND(F8*D7/B7,2)</f>
        <v>0</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c r="C13" t="s">
        <v>13</v>
      </c>
      <c r="F13" s="71">
        <f>IF(F$6=2,$B13/'Relay 1'!$L$1*$B$6/SQRT(3),IF(F$6=3,$B13/'Relay 1'!$L$1*$B$6*SQRT(3),$B13/'Relay 1'!$L$1*$B$6))</f>
        <v>0</v>
      </c>
      <c r="G13" s="7" t="s">
        <v>13</v>
      </c>
    </row>
    <row r="14" spans="1:27" ht="15.75" customHeight="1" x14ac:dyDescent="0.2">
      <c r="A14" s="7" t="s">
        <v>71</v>
      </c>
      <c r="B14" s="9"/>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4" priority="1" stopIfTrue="1">
      <formula>$F$15</formula>
    </cfRule>
  </conditionalFormatting>
  <dataValidations count="2">
    <dataValidation type="decimal" operator="greaterThan" showInputMessage="1" showErrorMessage="1" sqref="M1" xr:uid="{00000000-0002-0000-0900-000000000000}">
      <formula1>0</formula1>
    </dataValidation>
    <dataValidation type="decimal" operator="greaterThan" showInputMessage="1" showErrorMessage="1" errorTitle="Operating Voltage" error="Operating Voltage must be greater than zero." sqref="B6" xr:uid="{00000000-0002-0000-09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37409"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937410"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937411"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937413"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937414"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937415"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937417"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937418"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937420"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937422"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937423"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937424"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937425"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937426"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937427"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937471"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937947"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937948"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1112"/>
  <dimension ref="A1:AA46"/>
  <sheetViews>
    <sheetView workbookViewId="0">
      <selection activeCell="B20" sqref="B20"/>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8</v>
      </c>
    </row>
    <row r="3" spans="1:27" x14ac:dyDescent="0.25">
      <c r="A3" s="18" t="s">
        <v>66</v>
      </c>
      <c r="B3" t="str">
        <f>IF($F$15=TRUE,"CONFIRM PICKUP", "")</f>
        <v/>
      </c>
      <c r="G3" s="8">
        <v>1</v>
      </c>
    </row>
    <row r="4" spans="1:27" ht="17.25" customHeight="1" x14ac:dyDescent="0.2">
      <c r="A4" s="7" t="s">
        <v>0</v>
      </c>
      <c r="B4" s="10">
        <v>1</v>
      </c>
      <c r="F4" s="8" t="b">
        <v>0</v>
      </c>
      <c r="J4" s="73"/>
      <c r="K4" s="73"/>
      <c r="L4" s="73"/>
    </row>
    <row r="5" spans="1:27" ht="17.25" customHeight="1" x14ac:dyDescent="0.2">
      <c r="A5" s="7" t="s">
        <v>50</v>
      </c>
      <c r="B5" s="25" t="s">
        <v>66</v>
      </c>
      <c r="F5" s="42" t="b">
        <v>0</v>
      </c>
      <c r="G5" s="37"/>
      <c r="I5" s="105" t="s">
        <v>49</v>
      </c>
      <c r="J5" s="106"/>
      <c r="K5" s="106"/>
      <c r="L5" s="106"/>
      <c r="M5" s="106"/>
      <c r="N5" s="107"/>
    </row>
    <row r="6" spans="1:27" ht="15.75" customHeight="1" x14ac:dyDescent="0.2">
      <c r="A6" s="7" t="s">
        <v>51</v>
      </c>
      <c r="B6" s="9">
        <v>11</v>
      </c>
      <c r="C6" t="s">
        <v>47</v>
      </c>
      <c r="F6" s="40" t="b">
        <v>0</v>
      </c>
      <c r="G6" s="41"/>
      <c r="I6" s="10" t="s">
        <v>25</v>
      </c>
      <c r="J6" s="22" t="str">
        <f>B5</f>
        <v>Relay 7</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c r="C8" t="s">
        <v>13</v>
      </c>
      <c r="F8" s="24">
        <f>ROUND($B8/'Relay 1'!$L$1*$B$6,2)</f>
        <v>0</v>
      </c>
      <c r="G8" s="7" t="s">
        <v>13</v>
      </c>
      <c r="I8" s="10">
        <v>1</v>
      </c>
      <c r="J8" s="28">
        <v>0</v>
      </c>
      <c r="K8" s="72">
        <v>1</v>
      </c>
      <c r="L8" s="28">
        <v>0</v>
      </c>
      <c r="M8" s="7" t="s">
        <v>23</v>
      </c>
      <c r="N8" s="28">
        <v>0</v>
      </c>
      <c r="O8" t="s">
        <v>23</v>
      </c>
    </row>
    <row r="9" spans="1:27" ht="15.75" customHeight="1" x14ac:dyDescent="0.2">
      <c r="A9" s="7" t="s">
        <v>5</v>
      </c>
      <c r="B9" s="12">
        <f>ROUND(B8*D7/B7,2)</f>
        <v>0</v>
      </c>
      <c r="C9" t="s">
        <v>13</v>
      </c>
      <c r="F9" s="24">
        <f>ROUND(F8*D7/B7,2)</f>
        <v>0</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c r="C13" t="s">
        <v>13</v>
      </c>
      <c r="F13" s="71">
        <f>IF(F$6=2,$B13/'Relay 1'!$L$1*$B$6/SQRT(3),IF(F$6=3,$B13/'Relay 1'!$L$1*$B$6*SQRT(3),$B13/'Relay 1'!$L$1*$B$6))</f>
        <v>0</v>
      </c>
      <c r="G13" s="7" t="s">
        <v>13</v>
      </c>
    </row>
    <row r="14" spans="1:27" ht="15.75" customHeight="1" x14ac:dyDescent="0.2">
      <c r="A14" s="7" t="s">
        <v>71</v>
      </c>
      <c r="B14" s="9"/>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3" priority="1" stopIfTrue="1">
      <formula>$F$15</formula>
    </cfRule>
  </conditionalFormatting>
  <dataValidations count="2">
    <dataValidation type="decimal" operator="greaterThan" showInputMessage="1" showErrorMessage="1" sqref="M1" xr:uid="{00000000-0002-0000-0A00-000000000000}">
      <formula1>0</formula1>
    </dataValidation>
    <dataValidation type="decimal" operator="greaterThan" showInputMessage="1" showErrorMessage="1" errorTitle="Operating Voltage" error="Operating Voltage must be greater than zero." sqref="B6" xr:uid="{00000000-0002-0000-0A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38433"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938434"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938435"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938437"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938438"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938439"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938441"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938442"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938444"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938446"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938447"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938448"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938449"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938450"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938451"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938495"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938971"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938972"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1113"/>
  <dimension ref="A1:AA46"/>
  <sheetViews>
    <sheetView workbookViewId="0">
      <selection activeCell="B21" sqref="B21"/>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9</v>
      </c>
    </row>
    <row r="3" spans="1:27" x14ac:dyDescent="0.25">
      <c r="A3" s="18" t="s">
        <v>67</v>
      </c>
      <c r="B3" t="str">
        <f>IF($F$15=TRUE,"CONFIRM PICKUP", "")</f>
        <v/>
      </c>
      <c r="G3" s="8">
        <v>11</v>
      </c>
    </row>
    <row r="4" spans="1:27" ht="17.25" customHeight="1" x14ac:dyDescent="0.2">
      <c r="A4" s="7" t="s">
        <v>0</v>
      </c>
      <c r="B4" s="10">
        <v>1</v>
      </c>
      <c r="F4" s="8" t="b">
        <v>0</v>
      </c>
      <c r="J4" s="73"/>
      <c r="K4" s="73"/>
      <c r="L4" s="73"/>
    </row>
    <row r="5" spans="1:27" ht="17.25" customHeight="1" x14ac:dyDescent="0.2">
      <c r="A5" s="7" t="s">
        <v>50</v>
      </c>
      <c r="B5" s="25" t="s">
        <v>67</v>
      </c>
      <c r="F5" s="42" t="b">
        <v>1</v>
      </c>
      <c r="G5" s="37"/>
      <c r="I5" s="105" t="s">
        <v>49</v>
      </c>
      <c r="J5" s="106"/>
      <c r="K5" s="106"/>
      <c r="L5" s="106"/>
      <c r="M5" s="106"/>
      <c r="N5" s="107"/>
    </row>
    <row r="6" spans="1:27" ht="15.75" customHeight="1" x14ac:dyDescent="0.2">
      <c r="A6" s="7" t="s">
        <v>51</v>
      </c>
      <c r="B6" s="9">
        <v>11</v>
      </c>
      <c r="C6" t="s">
        <v>47</v>
      </c>
      <c r="F6" s="40" t="b">
        <v>0</v>
      </c>
      <c r="G6" s="41"/>
      <c r="I6" s="10" t="s">
        <v>25</v>
      </c>
      <c r="J6" s="22" t="str">
        <f>B5</f>
        <v>Relay 8</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c r="C8" t="s">
        <v>13</v>
      </c>
      <c r="F8" s="24">
        <f>ROUND($B8/'Relay 1'!$L$1*$B$6,2)</f>
        <v>0</v>
      </c>
      <c r="G8" s="7" t="s">
        <v>13</v>
      </c>
      <c r="I8" s="10">
        <v>1</v>
      </c>
      <c r="J8" s="28">
        <v>0</v>
      </c>
      <c r="K8" s="72">
        <v>1</v>
      </c>
      <c r="L8" s="28">
        <v>0</v>
      </c>
      <c r="M8" s="7" t="s">
        <v>23</v>
      </c>
      <c r="N8" s="28">
        <v>0</v>
      </c>
      <c r="O8" t="s">
        <v>23</v>
      </c>
    </row>
    <row r="9" spans="1:27" ht="15.75" customHeight="1" x14ac:dyDescent="0.2">
      <c r="A9" s="7" t="s">
        <v>5</v>
      </c>
      <c r="B9" s="12">
        <f>ROUND(B8*D7/B7,2)</f>
        <v>0</v>
      </c>
      <c r="C9" t="s">
        <v>13</v>
      </c>
      <c r="F9" s="24">
        <f>ROUND(F8*D7/B7,2)</f>
        <v>0</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c r="C13" t="s">
        <v>13</v>
      </c>
      <c r="F13" s="71">
        <f>IF(F$6=2,$B13/'Relay 1'!$L$1*$B$6/SQRT(3),IF(F$6=3,$B13/'Relay 1'!$L$1*$B$6*SQRT(3),$B13/'Relay 1'!$L$1*$B$6))</f>
        <v>0</v>
      </c>
      <c r="G13" s="7" t="s">
        <v>13</v>
      </c>
    </row>
    <row r="14" spans="1:27" ht="15.75" customHeight="1" x14ac:dyDescent="0.2">
      <c r="A14" s="7" t="s">
        <v>71</v>
      </c>
      <c r="B14" s="9"/>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2" priority="1" stopIfTrue="1">
      <formula>$F$15</formula>
    </cfRule>
  </conditionalFormatting>
  <dataValidations count="2">
    <dataValidation type="decimal" operator="greaterThan" showInputMessage="1" showErrorMessage="1" sqref="M1" xr:uid="{00000000-0002-0000-0B00-000000000000}">
      <formula1>0</formula1>
    </dataValidation>
    <dataValidation type="decimal" operator="greaterThan" showInputMessage="1" showErrorMessage="1" errorTitle="Operating Voltage" error="Operating Voltage must be greater than zero." sqref="B6" xr:uid="{00000000-0002-0000-0B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39457"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939458"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939459"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939461"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939462"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939463"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939465"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939466" r:id="rId11" name="HideRelay1">
              <controlPr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939468"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939470"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939471"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939472"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939473"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939474"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939475"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939519"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939995"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939996"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1114"/>
  <dimension ref="A1:AA46"/>
  <sheetViews>
    <sheetView workbookViewId="0">
      <selection activeCell="S12" sqref="S12"/>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10</v>
      </c>
    </row>
    <row r="3" spans="1:27" x14ac:dyDescent="0.25">
      <c r="A3" s="18" t="s">
        <v>68</v>
      </c>
      <c r="B3" t="str">
        <f>IF($F$15=TRUE,"CONFIRM PICKUP", "")</f>
        <v/>
      </c>
      <c r="G3" s="8">
        <v>5</v>
      </c>
    </row>
    <row r="4" spans="1:27" ht="17.25" customHeight="1" x14ac:dyDescent="0.2">
      <c r="A4" s="7" t="s">
        <v>0</v>
      </c>
      <c r="B4" s="10">
        <v>1</v>
      </c>
      <c r="F4" s="8" t="b">
        <v>0</v>
      </c>
      <c r="J4" s="73"/>
      <c r="K4" s="73"/>
      <c r="L4" s="73"/>
    </row>
    <row r="5" spans="1:27" ht="17.25" customHeight="1" x14ac:dyDescent="0.2">
      <c r="A5" s="7" t="s">
        <v>50</v>
      </c>
      <c r="B5" s="25" t="s">
        <v>68</v>
      </c>
      <c r="F5" s="42" t="b">
        <v>0</v>
      </c>
      <c r="G5" s="37"/>
      <c r="I5" s="105" t="s">
        <v>49</v>
      </c>
      <c r="J5" s="106"/>
      <c r="K5" s="106"/>
      <c r="L5" s="106"/>
      <c r="M5" s="106"/>
      <c r="N5" s="107"/>
    </row>
    <row r="6" spans="1:27" ht="15.75" customHeight="1" x14ac:dyDescent="0.2">
      <c r="A6" s="7" t="s">
        <v>51</v>
      </c>
      <c r="B6" s="9">
        <v>11</v>
      </c>
      <c r="C6" t="s">
        <v>47</v>
      </c>
      <c r="F6" s="40" t="b">
        <v>0</v>
      </c>
      <c r="G6" s="41"/>
      <c r="I6" s="10" t="s">
        <v>25</v>
      </c>
      <c r="J6" s="22" t="str">
        <f>B5</f>
        <v>Relay 9</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v>100</v>
      </c>
      <c r="C8" t="s">
        <v>13</v>
      </c>
      <c r="F8" s="24">
        <f>ROUND($B8/'Relay 1'!$L$1*$B$6,2)</f>
        <v>100</v>
      </c>
      <c r="G8" s="7" t="s">
        <v>13</v>
      </c>
      <c r="I8" s="10">
        <v>1</v>
      </c>
      <c r="J8" s="28">
        <v>0</v>
      </c>
      <c r="K8" s="72">
        <v>1</v>
      </c>
      <c r="L8" s="28">
        <v>0</v>
      </c>
      <c r="M8" s="7" t="s">
        <v>23</v>
      </c>
      <c r="N8" s="28">
        <v>0</v>
      </c>
      <c r="O8" t="s">
        <v>23</v>
      </c>
    </row>
    <row r="9" spans="1:27" ht="15.75" customHeight="1" x14ac:dyDescent="0.2">
      <c r="A9" s="7" t="s">
        <v>5</v>
      </c>
      <c r="B9" s="12">
        <f>ROUND(B8*D7/B7,2)</f>
        <v>1.25</v>
      </c>
      <c r="C9" t="s">
        <v>13</v>
      </c>
      <c r="F9" s="24">
        <f>ROUND(F8*D7/B7,2)</f>
        <v>1.25</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c r="C13" t="s">
        <v>13</v>
      </c>
      <c r="F13" s="71">
        <f>IF(F$6=2,$B13/'Relay 1'!$L$1*$B$6/SQRT(3),IF(F$6=3,$B13/'Relay 1'!$L$1*$B$6*SQRT(3),$B13/'Relay 1'!$L$1*$B$6))</f>
        <v>0</v>
      </c>
      <c r="G13" s="7" t="s">
        <v>13</v>
      </c>
    </row>
    <row r="14" spans="1:27" ht="15.75" customHeight="1" x14ac:dyDescent="0.2">
      <c r="A14" s="7" t="s">
        <v>71</v>
      </c>
      <c r="B14" s="9"/>
      <c r="C14" t="s">
        <v>23</v>
      </c>
    </row>
    <row r="15" spans="1:27" ht="15.75" customHeight="1" x14ac:dyDescent="0.2">
      <c r="F15" t="b">
        <v>0</v>
      </c>
    </row>
    <row r="16" spans="1:27" ht="15.75" customHeight="1" x14ac:dyDescent="0.2">
      <c r="A16" s="7" t="s">
        <v>38</v>
      </c>
      <c r="B16" s="9"/>
      <c r="C16" t="s">
        <v>23</v>
      </c>
      <c r="F16" t="b">
        <v>0</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1" priority="1" stopIfTrue="1">
      <formula>$F$15</formula>
    </cfRule>
  </conditionalFormatting>
  <dataValidations count="3">
    <dataValidation type="decimal" operator="greaterThan" showInputMessage="1" showErrorMessage="1" sqref="M1" xr:uid="{00000000-0002-0000-0C00-000000000000}">
      <formula1>0</formula1>
    </dataValidation>
    <dataValidation type="decimal" operator="greaterThan" showInputMessage="1" showErrorMessage="1" errorTitle="Operating Voltage" error="Operating Voltage must be greater than zero." sqref="B6" xr:uid="{00000000-0002-0000-0C00-000001000000}">
      <formula1>0</formula1>
    </dataValidation>
    <dataValidation type="decimal" allowBlank="1" showErrorMessage="1" errorTitle="Time Multiplyer" error="Time Multiplier must be between 0 and 10" sqref="B10" xr:uid="{00000000-0002-0000-0C00-000002000000}">
      <formula1>0</formula1>
      <formula2>10</formula2>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0481"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940482"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940483"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940485"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940486"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940487"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940489"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940490" r:id="rId11" name="HideRelay1">
              <controlPr locked="0"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940492"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940494"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940495"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940496"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940497"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940498"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940499"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940543"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941019"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941020"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1115"/>
  <dimension ref="A1:AA46"/>
  <sheetViews>
    <sheetView workbookViewId="0">
      <selection activeCell="D11" sqref="D11"/>
    </sheetView>
  </sheetViews>
  <sheetFormatPr defaultRowHeight="15.75" customHeight="1" x14ac:dyDescent="0.2"/>
  <cols>
    <col min="1" max="1" width="23" customWidth="1"/>
    <col min="2" max="2" width="12.85546875" customWidth="1"/>
    <col min="3" max="3" width="3.85546875" customWidth="1"/>
    <col min="4" max="4" width="4" customWidth="1"/>
    <col min="5" max="5" width="3.28515625" customWidth="1"/>
    <col min="8" max="8" width="3.5703125" customWidth="1"/>
    <col min="9" max="9" width="10.7109375" customWidth="1"/>
    <col min="10" max="10" width="12.7109375" customWidth="1"/>
    <col min="11" max="11" width="10.7109375" customWidth="1"/>
    <col min="12" max="12" width="12.7109375" customWidth="1"/>
    <col min="13" max="13" width="3.42578125" customWidth="1"/>
    <col min="14" max="14" width="9.7109375" customWidth="1"/>
    <col min="15" max="15" width="3.42578125" customWidth="1"/>
    <col min="26" max="26" width="11.5703125" customWidth="1"/>
    <col min="27" max="27" width="12" bestFit="1" customWidth="1"/>
    <col min="28" max="28" width="11.140625" bestFit="1" customWidth="1"/>
    <col min="29" max="29" width="13.7109375" bestFit="1" customWidth="1"/>
    <col min="30" max="30" width="17" bestFit="1" customWidth="1"/>
    <col min="31" max="31" width="18.5703125" customWidth="1"/>
    <col min="33" max="33" width="11.85546875" customWidth="1"/>
  </cols>
  <sheetData>
    <row r="1" spans="1:27" x14ac:dyDescent="0.25">
      <c r="A1" s="6"/>
      <c r="B1" s="13"/>
      <c r="L1" s="17"/>
      <c r="M1" s="18"/>
      <c r="N1" s="2"/>
      <c r="AA1" t="s">
        <v>62</v>
      </c>
    </row>
    <row r="2" spans="1:27" x14ac:dyDescent="0.25">
      <c r="A2" s="6"/>
      <c r="B2" s="13"/>
      <c r="L2" s="17"/>
      <c r="M2" s="2"/>
      <c r="N2" s="2"/>
      <c r="AA2">
        <v>11</v>
      </c>
    </row>
    <row r="3" spans="1:27" x14ac:dyDescent="0.25">
      <c r="A3" s="18" t="s">
        <v>69</v>
      </c>
      <c r="B3" t="str">
        <f>IF($F$15=TRUE,"CONFIRM PICKUP", "")</f>
        <v/>
      </c>
      <c r="G3" s="8">
        <v>5</v>
      </c>
    </row>
    <row r="4" spans="1:27" ht="17.25" customHeight="1" x14ac:dyDescent="0.2">
      <c r="A4" s="7" t="s">
        <v>0</v>
      </c>
      <c r="B4" s="10">
        <v>1</v>
      </c>
      <c r="F4" s="8" t="b">
        <v>0</v>
      </c>
      <c r="J4" s="73"/>
      <c r="K4" s="73"/>
      <c r="L4" s="73"/>
    </row>
    <row r="5" spans="1:27" ht="17.25" customHeight="1" x14ac:dyDescent="0.2">
      <c r="A5" s="7" t="s">
        <v>50</v>
      </c>
      <c r="B5" s="25" t="s">
        <v>69</v>
      </c>
      <c r="F5" s="42" t="b">
        <v>0</v>
      </c>
      <c r="G5" s="37"/>
      <c r="I5" s="105" t="s">
        <v>49</v>
      </c>
      <c r="J5" s="106"/>
      <c r="K5" s="106"/>
      <c r="L5" s="106"/>
      <c r="M5" s="106"/>
      <c r="N5" s="107"/>
    </row>
    <row r="6" spans="1:27" ht="15.75" customHeight="1" x14ac:dyDescent="0.2">
      <c r="A6" s="7" t="s">
        <v>51</v>
      </c>
      <c r="B6" s="9">
        <v>11</v>
      </c>
      <c r="C6" t="s">
        <v>47</v>
      </c>
      <c r="F6" s="40" t="b">
        <v>0</v>
      </c>
      <c r="G6" s="41"/>
      <c r="I6" s="10" t="s">
        <v>25</v>
      </c>
      <c r="J6" s="22" t="str">
        <f>B5</f>
        <v>Relay 10</v>
      </c>
      <c r="K6" s="74" t="s">
        <v>28</v>
      </c>
      <c r="L6" s="29">
        <v>1</v>
      </c>
      <c r="M6" s="16"/>
      <c r="N6" s="16" t="s">
        <v>146</v>
      </c>
    </row>
    <row r="7" spans="1:27" ht="15.75" customHeight="1" x14ac:dyDescent="0.2">
      <c r="A7" s="7" t="s">
        <v>2</v>
      </c>
      <c r="B7" s="9">
        <v>400</v>
      </c>
      <c r="C7" s="1" t="s">
        <v>3</v>
      </c>
      <c r="D7" s="9">
        <v>5</v>
      </c>
      <c r="E7" s="1"/>
      <c r="F7" s="109" t="s">
        <v>52</v>
      </c>
      <c r="G7" s="109"/>
      <c r="H7" s="1"/>
      <c r="I7" s="29">
        <v>1</v>
      </c>
      <c r="J7" s="28">
        <v>0</v>
      </c>
      <c r="K7" s="72">
        <v>1</v>
      </c>
      <c r="L7" s="28">
        <v>0</v>
      </c>
      <c r="M7" s="7" t="s">
        <v>23</v>
      </c>
      <c r="N7" s="28">
        <v>0</v>
      </c>
      <c r="O7" t="s">
        <v>23</v>
      </c>
    </row>
    <row r="8" spans="1:27" ht="15.75" customHeight="1" x14ac:dyDescent="0.2">
      <c r="A8" s="7" t="s">
        <v>4</v>
      </c>
      <c r="B8" s="9"/>
      <c r="C8" t="s">
        <v>13</v>
      </c>
      <c r="F8" s="24">
        <f>ROUND($B8/'Relay 1'!$L$1*$B$6,2)</f>
        <v>0</v>
      </c>
      <c r="G8" s="7" t="s">
        <v>13</v>
      </c>
      <c r="I8" s="10">
        <v>1</v>
      </c>
      <c r="J8" s="28">
        <v>0</v>
      </c>
      <c r="K8" s="72">
        <v>1</v>
      </c>
      <c r="L8" s="28">
        <v>0</v>
      </c>
      <c r="M8" s="7" t="s">
        <v>23</v>
      </c>
      <c r="N8" s="28">
        <v>0</v>
      </c>
      <c r="O8" t="s">
        <v>23</v>
      </c>
    </row>
    <row r="9" spans="1:27" ht="15.75" customHeight="1" x14ac:dyDescent="0.2">
      <c r="A9" s="7" t="s">
        <v>5</v>
      </c>
      <c r="B9" s="12">
        <f>ROUND(B8*D7/B7,2)</f>
        <v>0</v>
      </c>
      <c r="C9" t="s">
        <v>13</v>
      </c>
      <c r="F9" s="24">
        <f>ROUND(F8*D7/B7,2)</f>
        <v>0</v>
      </c>
      <c r="G9" s="7" t="s">
        <v>13</v>
      </c>
      <c r="I9" s="10">
        <v>1</v>
      </c>
      <c r="J9" s="28">
        <v>0</v>
      </c>
      <c r="K9" s="72">
        <v>1</v>
      </c>
      <c r="L9" s="28">
        <v>0</v>
      </c>
      <c r="M9" s="7" t="s">
        <v>23</v>
      </c>
      <c r="N9" s="28">
        <v>0</v>
      </c>
      <c r="O9" t="s">
        <v>23</v>
      </c>
    </row>
    <row r="10" spans="1:27" ht="15.75" customHeight="1" x14ac:dyDescent="0.2">
      <c r="A10" s="7" t="s">
        <v>6</v>
      </c>
      <c r="B10" s="9"/>
      <c r="F10" s="20"/>
      <c r="G10" s="21"/>
      <c r="I10" s="49"/>
      <c r="J10" s="50"/>
      <c r="K10" s="50"/>
      <c r="L10" s="51"/>
    </row>
    <row r="11" spans="1:27" ht="15.75" customHeight="1" x14ac:dyDescent="0.2">
      <c r="A11" s="7" t="s">
        <v>18</v>
      </c>
      <c r="B11" s="10">
        <v>1</v>
      </c>
      <c r="F11" s="11"/>
      <c r="G11" s="14"/>
    </row>
    <row r="12" spans="1:27" ht="15.75" customHeight="1" x14ac:dyDescent="0.2">
      <c r="F12" s="15"/>
      <c r="G12" s="22"/>
    </row>
    <row r="13" spans="1:27" ht="15.75" customHeight="1" x14ac:dyDescent="0.2">
      <c r="A13" s="7" t="s">
        <v>46</v>
      </c>
      <c r="B13" s="9"/>
      <c r="C13" t="s">
        <v>13</v>
      </c>
      <c r="F13" s="71">
        <f>IF(F$6=2,$B13/'Relay 1'!$L$1*$B$6/SQRT(3),IF(F$6=3,$B13/'Relay 1'!$L$1*$B$6*SQRT(3),$B13/'Relay 1'!$L$1*$B$6))</f>
        <v>0</v>
      </c>
      <c r="G13" s="7" t="s">
        <v>13</v>
      </c>
    </row>
    <row r="14" spans="1:27" ht="15.75" customHeight="1" x14ac:dyDescent="0.2">
      <c r="A14" s="7" t="s">
        <v>71</v>
      </c>
      <c r="B14" s="9"/>
      <c r="C14" t="s">
        <v>23</v>
      </c>
    </row>
    <row r="15" spans="1:27" ht="15.75" customHeight="1" x14ac:dyDescent="0.2">
      <c r="F15" t="b">
        <v>0</v>
      </c>
    </row>
    <row r="16" spans="1:27" ht="15.75" customHeight="1" x14ac:dyDescent="0.2">
      <c r="A16" s="7" t="s">
        <v>38</v>
      </c>
      <c r="B16" s="9"/>
      <c r="C16" t="s">
        <v>23</v>
      </c>
    </row>
    <row r="18" spans="1:7" ht="15.75" customHeight="1" x14ac:dyDescent="0.2">
      <c r="A18" s="7" t="s">
        <v>39</v>
      </c>
      <c r="B18" s="7"/>
      <c r="C18" t="s">
        <v>24</v>
      </c>
    </row>
    <row r="20" spans="1:7" ht="15.75" customHeight="1" x14ac:dyDescent="0.2">
      <c r="A20" s="7" t="s">
        <v>63</v>
      </c>
      <c r="B20" s="9"/>
      <c r="C20" t="s">
        <v>135</v>
      </c>
    </row>
    <row r="21" spans="1:7" ht="15.75" customHeight="1" x14ac:dyDescent="0.2">
      <c r="B21" s="9"/>
      <c r="C21" t="s">
        <v>13</v>
      </c>
    </row>
    <row r="23" spans="1:7" ht="15.75" customHeight="1" x14ac:dyDescent="0.2">
      <c r="A23" s="7" t="s">
        <v>80</v>
      </c>
      <c r="B23" s="9">
        <v>1</v>
      </c>
    </row>
    <row r="25" spans="1:7" ht="15.75" customHeight="1" x14ac:dyDescent="0.2">
      <c r="A25" s="7" t="s">
        <v>215</v>
      </c>
      <c r="B25" s="9"/>
      <c r="C25" t="s">
        <v>13</v>
      </c>
      <c r="F25" s="71">
        <f>$B25/'Relay 1'!$L$1*$B$6</f>
        <v>0</v>
      </c>
      <c r="G25" s="7" t="s">
        <v>13</v>
      </c>
    </row>
    <row r="26" spans="1:7" ht="15.75" customHeight="1" x14ac:dyDescent="0.2">
      <c r="A26" s="7" t="s">
        <v>216</v>
      </c>
      <c r="B26" s="9"/>
      <c r="C26" t="s">
        <v>23</v>
      </c>
    </row>
    <row r="28" spans="1:7" ht="15.75" customHeight="1" x14ac:dyDescent="0.2">
      <c r="A28" s="96" t="s">
        <v>232</v>
      </c>
      <c r="B28" s="9"/>
      <c r="C28" s="52" t="s">
        <v>13</v>
      </c>
      <c r="F28" s="71">
        <f>$B28/'Relay 1'!$L$1*$B$6</f>
        <v>0</v>
      </c>
      <c r="G28" s="7" t="s">
        <v>13</v>
      </c>
    </row>
    <row r="29" spans="1:7" ht="15.75" customHeight="1" x14ac:dyDescent="0.2">
      <c r="A29" s="96" t="s">
        <v>228</v>
      </c>
      <c r="B29" s="9"/>
      <c r="C29" s="52" t="s">
        <v>23</v>
      </c>
    </row>
    <row r="34" spans="1:4" ht="15.75" customHeight="1" x14ac:dyDescent="0.2">
      <c r="A34" s="52" t="s">
        <v>217</v>
      </c>
    </row>
    <row r="35" spans="1:4" ht="15.75" customHeight="1" x14ac:dyDescent="0.2">
      <c r="A35" s="7" t="s">
        <v>2</v>
      </c>
      <c r="B35" s="9"/>
      <c r="C35" t="s">
        <v>3</v>
      </c>
      <c r="D35" s="9"/>
    </row>
    <row r="36" spans="1:4" ht="15.75" customHeight="1" x14ac:dyDescent="0.2">
      <c r="A36" s="7" t="s">
        <v>4</v>
      </c>
      <c r="B36" s="9"/>
      <c r="C36" t="s">
        <v>13</v>
      </c>
    </row>
    <row r="37" spans="1:4" ht="15.75" customHeight="1" x14ac:dyDescent="0.2">
      <c r="A37" s="7" t="s">
        <v>5</v>
      </c>
      <c r="B37" s="12" t="e">
        <f>ROUND(B36*D35/B35,2)</f>
        <v>#DIV/0!</v>
      </c>
      <c r="C37" t="s">
        <v>13</v>
      </c>
    </row>
    <row r="38" spans="1:4" ht="15.75" customHeight="1" x14ac:dyDescent="0.2">
      <c r="A38" s="7" t="s">
        <v>6</v>
      </c>
      <c r="B38" s="9"/>
    </row>
    <row r="39" spans="1:4" ht="15.75" customHeight="1" x14ac:dyDescent="0.2">
      <c r="A39" s="7" t="s">
        <v>18</v>
      </c>
      <c r="B39" s="9"/>
    </row>
    <row r="40" spans="1:4" ht="15.75" customHeight="1" x14ac:dyDescent="0.2">
      <c r="A40" s="7" t="s">
        <v>46</v>
      </c>
      <c r="B40" s="9"/>
      <c r="C40" t="s">
        <v>13</v>
      </c>
    </row>
    <row r="41" spans="1:4" ht="15.75" customHeight="1" x14ac:dyDescent="0.2">
      <c r="A41" s="7" t="s">
        <v>71</v>
      </c>
      <c r="B41" s="9"/>
      <c r="C41" t="s">
        <v>23</v>
      </c>
    </row>
    <row r="42" spans="1:4" ht="15.75" customHeight="1" x14ac:dyDescent="0.2">
      <c r="A42" s="7" t="s">
        <v>215</v>
      </c>
      <c r="B42" s="9"/>
      <c r="C42" t="s">
        <v>13</v>
      </c>
    </row>
    <row r="43" spans="1:4" ht="15.75" customHeight="1" x14ac:dyDescent="0.2">
      <c r="A43" s="7" t="s">
        <v>71</v>
      </c>
      <c r="B43" s="9"/>
      <c r="C43" t="s">
        <v>23</v>
      </c>
    </row>
    <row r="44" spans="1:4" ht="15.75" customHeight="1" x14ac:dyDescent="0.2">
      <c r="A44" s="96" t="s">
        <v>229</v>
      </c>
      <c r="B44" s="9"/>
      <c r="C44" s="52" t="s">
        <v>23</v>
      </c>
    </row>
    <row r="46" spans="1:4" ht="15.75" customHeight="1" x14ac:dyDescent="0.2">
      <c r="A46" t="str">
        <f>IF($B$23=2,CONCATENATE("Existing Settings:",CHAR(10),"CT = ",$B$35,":",$D$35,CHAR(10),$B$36,"A","/",$B$37,"A",CHAR(10),$B$39,",",$B$38,"TM",CHAR(10),IF($B$40&gt;0,CONCATENATE("I&gt;&gt;=",$B$40,"A,",$B$41,"s",CHAR(10)),""),IF($B$42&gt;0,CONCATENATE("I&gt;&gt;&gt;",$B$42,"A,",$B$43,"s"),""), IF($B$44&gt;0,CONCATENATE("Lowset: ",$B$36,"A,",$B$44,"s"),"")),"No changes, box not required.")</f>
        <v>No changes, box not required.</v>
      </c>
    </row>
  </sheetData>
  <mergeCells count="2">
    <mergeCell ref="F7:G7"/>
    <mergeCell ref="I5:N5"/>
  </mergeCells>
  <phoneticPr fontId="8" type="noConversion"/>
  <conditionalFormatting sqref="B3">
    <cfRule type="expression" dxfId="0" priority="1" stopIfTrue="1">
      <formula>$F$15</formula>
    </cfRule>
  </conditionalFormatting>
  <dataValidations count="2">
    <dataValidation type="decimal" operator="greaterThan" showInputMessage="1" showErrorMessage="1" sqref="M1" xr:uid="{00000000-0002-0000-0D00-000000000000}">
      <formula1>0</formula1>
    </dataValidation>
    <dataValidation type="decimal" operator="greaterThan" showInputMessage="1" showErrorMessage="1" errorTitle="Operating Voltage" error="Operating Voltage must be greater than zero." sqref="B6" xr:uid="{00000000-0002-0000-0D00-000001000000}">
      <formula1>0</formula1>
    </dataValidation>
  </dataValidations>
  <pageMargins left="0.39370078740157483" right="0.74803149606299213" top="0.19685039370078741" bottom="0.47244094488188981" header="0.15748031496062992" footer="0.47244094488188981"/>
  <pageSetup paperSize="9" orientation="landscape"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1505" r:id="rId4" name="Relay1">
              <controlPr locked="0" defaultSize="0" autoLine="0" autoPict="0" macro="[0]!Relay_Change">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1941506" r:id="rId5" name="Curve1">
              <controlPr locked="0" defaultSize="0" autoLine="0" autoPict="0" macro="[0]!CurveType_Change">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941507" r:id="rId6" name="Upstream1">
              <controlPr defaultSize="0" autoLine="0" autoPict="0" macro="[0]!grading">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941509" r:id="rId7" name="Relay1Fault1">
              <controlPr defaultSize="0" autoLine="0" autoPict="0" macro="[0]!grading">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941510" r:id="rId8" name="Relay1Fault2">
              <controlPr defaultSize="0" autoLine="0" autoPict="0" macro="[0]!grading">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941511" r:id="rId9" name="Relay1Fault3">
              <controlPr defaultSize="0" autoLine="0" autoPict="0" macro="[0]!grading">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941513" r:id="rId10" name="HideRelay1">
              <controlPr defaultSize="0" print="0" autoFill="0" autoLine="0" autoPict="0" macro="[0]!HideRelay_Change">
                <anchor moveWithCells="1">
                  <from>
                    <xdr:col>5</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1941514" r:id="rId11" name="HideRelay1">
              <controlPr locked="0" defaultSize="0" print="0" autoFill="0" autoLine="0" autoPict="0" macro="[0]!HideRelay_Change">
                <anchor moveWithCells="1">
                  <from>
                    <xdr:col>5</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941516" r:id="rId12" name="Setting Status">
              <controlPr locked="0" defaultSize="0" autoLine="0" autoPict="0" macro="[0]!LegendUpdate">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941518" r:id="rId13" name="Drop Down 14">
              <controlPr defaultSize="0" autoLine="0" autoPict="0" macro="[0]!HideRelay_Change">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941519" r:id="rId14" name="Relay1FaultB1">
              <controlPr defaultSize="0" autoLine="0" autoPict="0" macro="[0]!grading">
                <anchor mov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1941520" r:id="rId15" name="Relay1FaultB2">
              <controlPr defaultSize="0" autoLine="0" autoPict="0" macro="[0]!grading">
                <anchor mov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941521" r:id="rId16" name="Relay1FaultB3">
              <controlPr defaultSize="0" autoLine="0" autoPict="0" macro="[0]!grading">
                <anchor mov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1941522" r:id="rId17" name="Add">
              <controlPr defaultSize="0" print="0" autoFill="0" autoPict="0" macro="[0]!Edit_Click">
                <anchor moveWithCells="1">
                  <from>
                    <xdr:col>0</xdr:col>
                    <xdr:colOff>1276350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941523" r:id="rId18" name="Add">
              <controlPr defaultSize="0" print="0" autoFill="0" autoPict="0" macro="[0]!Add_Click">
                <anchor moveWithCells="1">
                  <from>
                    <xdr:col>0</xdr:col>
                    <xdr:colOff>1000125</xdr:colOff>
                    <xdr:row>3</xdr:row>
                    <xdr:rowOff>0</xdr:rowOff>
                  </from>
                  <to>
                    <xdr:col>0</xdr:col>
                    <xdr:colOff>1257300</xdr:colOff>
                    <xdr:row>4</xdr:row>
                    <xdr:rowOff>0</xdr:rowOff>
                  </to>
                </anchor>
              </controlPr>
            </control>
          </mc:Choice>
        </mc:AlternateContent>
        <mc:AlternateContent xmlns:mc="http://schemas.openxmlformats.org/markup-compatibility/2006">
          <mc:Choice Requires="x14">
            <control shapeId="1941567" r:id="rId19" name="HideRelay1">
              <controlPr locked="0" defaultSize="0" print="0" autoFill="0" autoLine="0" autoPict="0" macro="[0]!CurveType_Change">
                <anchor moveWithCells="1">
                  <from>
                    <xdr:col>5</xdr:col>
                    <xdr:colOff>0</xdr:colOff>
                    <xdr:row>4</xdr:row>
                    <xdr:rowOff>209550</xdr:rowOff>
                  </from>
                  <to>
                    <xdr:col>7</xdr:col>
                    <xdr:colOff>0</xdr:colOff>
                    <xdr:row>6</xdr:row>
                    <xdr:rowOff>9525</xdr:rowOff>
                  </to>
                </anchor>
              </controlPr>
            </control>
          </mc:Choice>
        </mc:AlternateContent>
        <mc:AlternateContent xmlns:mc="http://schemas.openxmlformats.org/markup-compatibility/2006">
          <mc:Choice Requires="x14">
            <control shapeId="1942045" r:id="rId20" name="HideRelay1">
              <controlPr defaultSize="0" print="0" autoFill="0" autoLine="0" autoPict="0" macro="[0]!HideRelay_Change">
                <anchor moveWithCells="1">
                  <from>
                    <xdr:col>5</xdr:col>
                    <xdr:colOff>0</xdr:colOff>
                    <xdr:row>14</xdr:row>
                    <xdr:rowOff>0</xdr:rowOff>
                  </from>
                  <to>
                    <xdr:col>7</xdr:col>
                    <xdr:colOff>0</xdr:colOff>
                    <xdr:row>15</xdr:row>
                    <xdr:rowOff>19050</xdr:rowOff>
                  </to>
                </anchor>
              </controlPr>
            </control>
          </mc:Choice>
        </mc:AlternateContent>
        <mc:AlternateContent xmlns:mc="http://schemas.openxmlformats.org/markup-compatibility/2006">
          <mc:Choice Requires="x14">
            <control shapeId="1942046" r:id="rId21" name="HideRelay1">
              <controlPr defaultSize="0" print="0" autoFill="0" autoLine="0" autoPict="0" macro="[0]!HideRelay_Change">
                <anchor moveWithCells="1">
                  <from>
                    <xdr:col>5</xdr:col>
                    <xdr:colOff>0</xdr:colOff>
                    <xdr:row>15</xdr:row>
                    <xdr:rowOff>0</xdr:rowOff>
                  </from>
                  <to>
                    <xdr:col>7</xdr:col>
                    <xdr:colOff>0</xdr:colOff>
                    <xdr:row>16</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Q62"/>
  <sheetViews>
    <sheetView zoomScaleNormal="100" workbookViewId="0">
      <selection activeCell="A13" sqref="A13"/>
    </sheetView>
  </sheetViews>
  <sheetFormatPr defaultRowHeight="12.75" x14ac:dyDescent="0.2"/>
  <cols>
    <col min="1" max="1" width="20" style="8" bestFit="1" customWidth="1"/>
    <col min="2" max="8" width="17" style="8" customWidth="1"/>
    <col min="9" max="9" width="18.85546875" style="8" bestFit="1" customWidth="1"/>
    <col min="10" max="11" width="9.140625" style="8"/>
    <col min="12" max="12" width="17.7109375" style="8" bestFit="1" customWidth="1"/>
    <col min="13" max="16384" width="9.140625" style="8"/>
  </cols>
  <sheetData>
    <row r="1" spans="1:17" ht="20.25" x14ac:dyDescent="0.3">
      <c r="A1" s="8" t="s">
        <v>14</v>
      </c>
      <c r="B1" s="81" t="s">
        <v>154</v>
      </c>
      <c r="C1" s="81" t="s">
        <v>153</v>
      </c>
      <c r="D1" s="81" t="s">
        <v>155</v>
      </c>
      <c r="E1" s="81" t="s">
        <v>156</v>
      </c>
      <c r="F1" s="81" t="s">
        <v>159</v>
      </c>
      <c r="G1" s="81" t="s">
        <v>160</v>
      </c>
      <c r="H1" s="81" t="s">
        <v>161</v>
      </c>
      <c r="I1" s="94" t="s">
        <v>221</v>
      </c>
      <c r="J1" s="8" t="s">
        <v>222</v>
      </c>
      <c r="K1" s="8" t="s">
        <v>223</v>
      </c>
      <c r="L1" s="8" t="s">
        <v>224</v>
      </c>
      <c r="M1" s="8" t="s">
        <v>227</v>
      </c>
      <c r="N1" s="94"/>
    </row>
    <row r="2" spans="1:17" ht="20.25" x14ac:dyDescent="0.3">
      <c r="A2" s="82" t="s">
        <v>152</v>
      </c>
      <c r="B2" s="82">
        <v>0.05</v>
      </c>
      <c r="C2" s="82">
        <v>1</v>
      </c>
      <c r="D2" s="82">
        <v>2.5000000000000001E-2</v>
      </c>
      <c r="E2" s="82">
        <v>20</v>
      </c>
      <c r="F2" s="82">
        <v>0.05</v>
      </c>
      <c r="G2" s="82">
        <v>1</v>
      </c>
      <c r="H2" s="82">
        <v>2.5000000000000001E-2</v>
      </c>
      <c r="I2" s="26" t="b">
        <v>0</v>
      </c>
      <c r="J2" s="26" t="b">
        <v>0</v>
      </c>
      <c r="K2" s="26" t="b">
        <v>1</v>
      </c>
      <c r="M2" s="8" t="b">
        <v>1</v>
      </c>
      <c r="N2" s="94"/>
    </row>
    <row r="3" spans="1:17" ht="20.25" x14ac:dyDescent="0.3">
      <c r="A3" s="82" t="s">
        <v>93</v>
      </c>
      <c r="B3" s="82">
        <v>2.5000000000000001E-2</v>
      </c>
      <c r="C3" s="82">
        <v>1.6</v>
      </c>
      <c r="D3" s="82">
        <v>2.5000000000000001E-2</v>
      </c>
      <c r="E3" s="82">
        <v>30</v>
      </c>
      <c r="F3" s="82">
        <v>2.5000000000000001E-2</v>
      </c>
      <c r="G3" s="82">
        <v>1.6</v>
      </c>
      <c r="H3" s="82">
        <v>2.5000000000000001E-2</v>
      </c>
      <c r="I3" s="26" t="b">
        <v>1</v>
      </c>
      <c r="J3" s="26" t="b">
        <v>1</v>
      </c>
      <c r="K3" s="26" t="b">
        <v>1</v>
      </c>
      <c r="M3" s="8" t="b">
        <v>1</v>
      </c>
      <c r="N3" s="94"/>
    </row>
    <row r="4" spans="1:17" ht="20.25" x14ac:dyDescent="0.3">
      <c r="A4" s="82" t="s">
        <v>94</v>
      </c>
      <c r="B4" s="82">
        <v>2.5000000000000001E-2</v>
      </c>
      <c r="C4" s="82">
        <v>1.6</v>
      </c>
      <c r="D4" s="82">
        <v>2.5000000000000001E-2</v>
      </c>
      <c r="E4" s="82">
        <v>30</v>
      </c>
      <c r="F4" s="82">
        <v>2.5000000000000001E-2</v>
      </c>
      <c r="G4" s="82">
        <v>1.6</v>
      </c>
      <c r="H4" s="82">
        <v>2.5000000000000001E-2</v>
      </c>
      <c r="I4" s="26" t="b">
        <v>1</v>
      </c>
      <c r="J4" s="26" t="b">
        <v>1</v>
      </c>
      <c r="K4" s="26" t="b">
        <v>1</v>
      </c>
      <c r="M4" s="8" t="b">
        <v>1</v>
      </c>
      <c r="N4" s="94"/>
    </row>
    <row r="5" spans="1:17" ht="20.25" x14ac:dyDescent="0.3">
      <c r="A5" s="82" t="s">
        <v>54</v>
      </c>
      <c r="B5" s="82">
        <v>0.05</v>
      </c>
      <c r="C5" s="82">
        <v>1</v>
      </c>
      <c r="D5" s="82">
        <v>2.5000000000000001E-2</v>
      </c>
      <c r="E5" s="82">
        <v>20</v>
      </c>
      <c r="F5" s="82">
        <v>0.05</v>
      </c>
      <c r="G5" s="82">
        <v>1</v>
      </c>
      <c r="H5" s="82">
        <v>2.5000000000000001E-2</v>
      </c>
      <c r="I5" s="8" t="b">
        <v>0</v>
      </c>
      <c r="J5" s="26" t="b">
        <v>0</v>
      </c>
      <c r="K5" s="26" t="b">
        <v>1</v>
      </c>
      <c r="M5" s="8" t="b">
        <v>1</v>
      </c>
      <c r="N5" s="94"/>
    </row>
    <row r="6" spans="1:17" ht="20.25" x14ac:dyDescent="0.3">
      <c r="A6" s="82" t="s">
        <v>99</v>
      </c>
      <c r="B6" s="82">
        <v>0.05</v>
      </c>
      <c r="C6" s="82">
        <v>1</v>
      </c>
      <c r="D6" s="82">
        <v>2.5000000000000001E-2</v>
      </c>
      <c r="E6" s="82">
        <v>20</v>
      </c>
      <c r="F6" s="82">
        <v>0.05</v>
      </c>
      <c r="G6" s="82">
        <v>1</v>
      </c>
      <c r="H6" s="82">
        <v>2.5000000000000001E-2</v>
      </c>
      <c r="I6" s="8" t="b">
        <v>0</v>
      </c>
      <c r="J6" s="8" t="b">
        <v>0</v>
      </c>
      <c r="K6" s="8" t="b">
        <v>0</v>
      </c>
      <c r="M6" s="8" t="b">
        <v>1</v>
      </c>
      <c r="N6" s="94"/>
      <c r="Q6" s="8" t="s">
        <v>14</v>
      </c>
    </row>
    <row r="7" spans="1:17" ht="20.25" x14ac:dyDescent="0.3">
      <c r="A7" s="82" t="s">
        <v>95</v>
      </c>
      <c r="B7" s="82">
        <v>0.05</v>
      </c>
      <c r="C7" s="82">
        <v>1</v>
      </c>
      <c r="D7" s="82">
        <v>2.5000000000000001E-2</v>
      </c>
      <c r="E7" s="82">
        <v>20</v>
      </c>
      <c r="F7" s="82">
        <v>0.05</v>
      </c>
      <c r="G7" s="82">
        <v>1</v>
      </c>
      <c r="H7" s="82">
        <v>2.5000000000000001E-2</v>
      </c>
      <c r="I7" s="8" t="b">
        <v>0</v>
      </c>
      <c r="J7" s="8" t="b">
        <v>0</v>
      </c>
      <c r="K7" s="8" t="b">
        <v>0</v>
      </c>
      <c r="M7" s="8" t="b">
        <v>1</v>
      </c>
      <c r="N7" s="94"/>
    </row>
    <row r="8" spans="1:17" ht="20.25" x14ac:dyDescent="0.3">
      <c r="A8" s="82" t="s">
        <v>55</v>
      </c>
      <c r="B8" s="82">
        <v>2.5000000000000001E-2</v>
      </c>
      <c r="C8" s="82">
        <v>1.5</v>
      </c>
      <c r="D8" s="82">
        <v>2.5000000000000001E-2</v>
      </c>
      <c r="E8" s="82">
        <v>30</v>
      </c>
      <c r="F8" s="82">
        <v>2.5000000000000001E-2</v>
      </c>
      <c r="G8" s="82">
        <v>1.5</v>
      </c>
      <c r="H8" s="82">
        <v>2.5000000000000001E-2</v>
      </c>
      <c r="I8" s="26" t="b">
        <v>0</v>
      </c>
      <c r="J8" s="26" t="b">
        <v>1</v>
      </c>
      <c r="K8" s="26" t="b">
        <v>1</v>
      </c>
      <c r="M8" s="8" t="b">
        <v>1</v>
      </c>
      <c r="N8" s="94"/>
    </row>
    <row r="9" spans="1:17" ht="20.25" x14ac:dyDescent="0.3">
      <c r="A9" s="82" t="s">
        <v>56</v>
      </c>
      <c r="B9" s="82">
        <v>2.5000000000000001E-2</v>
      </c>
      <c r="C9" s="82">
        <v>1.5</v>
      </c>
      <c r="D9" s="82">
        <v>2.5000000000000001E-2</v>
      </c>
      <c r="E9" s="82">
        <v>30</v>
      </c>
      <c r="F9" s="82">
        <v>2.5000000000000001E-2</v>
      </c>
      <c r="G9" s="82">
        <v>1.5</v>
      </c>
      <c r="H9" s="82">
        <v>2.5000000000000001E-2</v>
      </c>
      <c r="I9" s="26" t="b">
        <v>0</v>
      </c>
      <c r="J9" s="26" t="b">
        <v>1</v>
      </c>
      <c r="K9" s="26" t="b">
        <v>1</v>
      </c>
      <c r="M9" s="8" t="b">
        <v>1</v>
      </c>
      <c r="N9" s="94"/>
    </row>
    <row r="10" spans="1:17" ht="20.25" x14ac:dyDescent="0.3">
      <c r="A10" s="82" t="s">
        <v>57</v>
      </c>
      <c r="B10" s="82">
        <v>0.1</v>
      </c>
      <c r="C10" s="82">
        <v>2</v>
      </c>
      <c r="D10" s="82">
        <v>0.05</v>
      </c>
      <c r="E10" s="82">
        <v>20</v>
      </c>
      <c r="F10" s="82">
        <v>0.1</v>
      </c>
      <c r="G10" s="82">
        <v>2</v>
      </c>
      <c r="H10" s="82">
        <v>0.05</v>
      </c>
      <c r="I10" s="8" t="b">
        <v>0</v>
      </c>
      <c r="J10" s="8" t="b">
        <v>0</v>
      </c>
      <c r="K10" s="8" t="b">
        <v>0</v>
      </c>
      <c r="M10" s="8" t="b">
        <v>1</v>
      </c>
      <c r="N10" s="94"/>
    </row>
    <row r="11" spans="1:17" ht="20.25" x14ac:dyDescent="0.3">
      <c r="A11" s="82" t="s">
        <v>100</v>
      </c>
      <c r="B11" s="82">
        <v>0.01</v>
      </c>
      <c r="C11" s="82">
        <v>1</v>
      </c>
      <c r="D11" s="82">
        <v>0.01</v>
      </c>
      <c r="E11" s="82">
        <v>20</v>
      </c>
      <c r="F11" s="82">
        <v>0.01</v>
      </c>
      <c r="G11" s="82">
        <v>1</v>
      </c>
      <c r="H11" s="82">
        <v>0.01</v>
      </c>
      <c r="I11" s="8" t="b">
        <v>0</v>
      </c>
      <c r="J11" s="8" t="b">
        <v>0</v>
      </c>
      <c r="K11" s="8" t="b">
        <v>0</v>
      </c>
      <c r="M11" s="8" t="b">
        <v>1</v>
      </c>
      <c r="N11" s="94"/>
    </row>
    <row r="12" spans="1:17" ht="20.25" x14ac:dyDescent="0.3">
      <c r="A12" s="82" t="s">
        <v>205</v>
      </c>
      <c r="B12" s="82">
        <v>0.05</v>
      </c>
      <c r="C12" s="82">
        <v>10</v>
      </c>
      <c r="D12" s="82">
        <v>0.01</v>
      </c>
      <c r="E12" s="82" t="s">
        <v>225</v>
      </c>
      <c r="F12" s="82">
        <v>0.05</v>
      </c>
      <c r="G12" s="82">
        <v>10</v>
      </c>
      <c r="H12" s="82">
        <v>0.01</v>
      </c>
      <c r="I12" s="26" t="b">
        <v>0</v>
      </c>
      <c r="J12" s="26" t="b">
        <v>0</v>
      </c>
      <c r="K12" s="26" t="b">
        <v>1</v>
      </c>
      <c r="L12" s="8">
        <v>6000</v>
      </c>
      <c r="M12" s="8" t="b">
        <v>1</v>
      </c>
    </row>
    <row r="13" spans="1:17" ht="20.25" x14ac:dyDescent="0.3">
      <c r="A13" s="82" t="s">
        <v>1</v>
      </c>
      <c r="B13" s="82">
        <v>0.05</v>
      </c>
      <c r="C13" s="82">
        <v>2</v>
      </c>
      <c r="D13" s="82">
        <v>0.01</v>
      </c>
      <c r="E13" s="82">
        <v>20</v>
      </c>
      <c r="F13" s="82">
        <v>0.05</v>
      </c>
      <c r="G13" s="82">
        <v>2</v>
      </c>
      <c r="H13" s="82">
        <v>0.01</v>
      </c>
      <c r="I13" s="8" t="b">
        <v>0</v>
      </c>
      <c r="J13" s="26" t="b">
        <v>0</v>
      </c>
      <c r="K13" s="26" t="b">
        <v>1</v>
      </c>
      <c r="M13" s="8" t="b">
        <v>1</v>
      </c>
    </row>
    <row r="14" spans="1:17" ht="20.25" x14ac:dyDescent="0.3">
      <c r="A14" s="82" t="s">
        <v>170</v>
      </c>
      <c r="B14" s="82">
        <v>0.05</v>
      </c>
      <c r="C14" s="82">
        <v>2</v>
      </c>
      <c r="D14" s="82">
        <v>0.01</v>
      </c>
      <c r="E14" s="82">
        <v>30</v>
      </c>
      <c r="F14" s="82">
        <v>0.05</v>
      </c>
      <c r="G14" s="82">
        <v>2</v>
      </c>
      <c r="H14" s="82">
        <v>0.01</v>
      </c>
      <c r="I14" s="8" t="b">
        <v>0</v>
      </c>
      <c r="J14" s="26" t="b">
        <v>0</v>
      </c>
      <c r="K14" s="26" t="b">
        <v>1</v>
      </c>
      <c r="M14" s="8" t="b">
        <v>1</v>
      </c>
    </row>
    <row r="15" spans="1:17" ht="20.25" x14ac:dyDescent="0.3">
      <c r="A15" s="82" t="s">
        <v>191</v>
      </c>
      <c r="B15" s="82">
        <v>2.5000000000000001E-2</v>
      </c>
      <c r="C15" s="82">
        <v>1.5</v>
      </c>
      <c r="D15" s="82">
        <v>1E-3</v>
      </c>
      <c r="E15" s="82">
        <v>20</v>
      </c>
      <c r="F15" s="82">
        <v>2.5000000000000001E-2</v>
      </c>
      <c r="G15" s="82">
        <v>1.5</v>
      </c>
      <c r="H15" s="82">
        <v>1E-3</v>
      </c>
      <c r="I15" s="26" t="b">
        <v>1</v>
      </c>
      <c r="J15" s="26" t="b">
        <v>1</v>
      </c>
      <c r="K15" s="26" t="b">
        <v>1</v>
      </c>
      <c r="M15" s="8" t="b">
        <v>1</v>
      </c>
    </row>
    <row r="16" spans="1:17" ht="20.25" x14ac:dyDescent="0.3">
      <c r="A16" s="82" t="s">
        <v>252</v>
      </c>
      <c r="B16" s="82">
        <v>2.5000000000000001E-2</v>
      </c>
      <c r="C16" s="82">
        <v>1.2</v>
      </c>
      <c r="D16" s="82">
        <v>5.0000000000000001E-3</v>
      </c>
      <c r="E16" s="82">
        <v>25</v>
      </c>
      <c r="F16" s="82">
        <v>2.5000000000000001E-2</v>
      </c>
      <c r="G16" s="82">
        <v>1.2</v>
      </c>
      <c r="H16" s="82">
        <v>5.0000000000000001E-3</v>
      </c>
      <c r="I16" s="8" t="b">
        <v>1</v>
      </c>
      <c r="J16" s="8" t="b">
        <v>1</v>
      </c>
      <c r="K16" s="8" t="b">
        <v>1</v>
      </c>
      <c r="L16"/>
      <c r="M16" s="8" t="b">
        <v>1</v>
      </c>
    </row>
    <row r="17" spans="1:13" ht="20.25" x14ac:dyDescent="0.3">
      <c r="A17" s="82" t="s">
        <v>253</v>
      </c>
      <c r="B17" s="82">
        <v>2.5000000000000001E-2</v>
      </c>
      <c r="C17" s="82">
        <v>1.2</v>
      </c>
      <c r="D17" s="82">
        <v>2.5000000000000001E-2</v>
      </c>
      <c r="E17" s="82">
        <v>25</v>
      </c>
      <c r="F17" s="82">
        <v>2.5000000000000001E-2</v>
      </c>
      <c r="G17" s="82">
        <v>1.2</v>
      </c>
      <c r="H17" s="82">
        <v>2.5000000000000001E-2</v>
      </c>
      <c r="I17" s="8" t="b">
        <v>1</v>
      </c>
      <c r="J17" s="8" t="b">
        <v>1</v>
      </c>
      <c r="K17" s="8" t="b">
        <v>1</v>
      </c>
      <c r="M17" s="8" t="b">
        <v>1</v>
      </c>
    </row>
    <row r="18" spans="1:13" ht="20.25" x14ac:dyDescent="0.3">
      <c r="A18" s="82" t="s">
        <v>96</v>
      </c>
      <c r="B18" s="82">
        <v>0.05</v>
      </c>
      <c r="C18" s="82">
        <v>1</v>
      </c>
      <c r="D18" s="82">
        <v>2.5000000000000001E-2</v>
      </c>
      <c r="E18" s="82">
        <v>20</v>
      </c>
      <c r="F18" s="82">
        <v>0.05</v>
      </c>
      <c r="G18" s="82">
        <v>1</v>
      </c>
      <c r="H18" s="82">
        <v>2.5000000000000001E-2</v>
      </c>
      <c r="I18" s="8" t="b">
        <v>0</v>
      </c>
      <c r="J18" s="8" t="b">
        <v>0</v>
      </c>
      <c r="K18" s="26" t="b">
        <v>0</v>
      </c>
      <c r="M18" s="8" t="b">
        <v>1</v>
      </c>
    </row>
    <row r="19" spans="1:13" ht="20.25" x14ac:dyDescent="0.3">
      <c r="A19" s="87" t="s">
        <v>97</v>
      </c>
      <c r="B19" s="87">
        <v>0.05</v>
      </c>
      <c r="C19" s="87">
        <v>1</v>
      </c>
      <c r="D19" s="87">
        <v>0.01</v>
      </c>
      <c r="E19" s="87">
        <v>30</v>
      </c>
      <c r="F19" s="87">
        <v>0.05</v>
      </c>
      <c r="G19" s="87">
        <v>1</v>
      </c>
      <c r="H19" s="87">
        <v>0.01</v>
      </c>
      <c r="I19" s="94" t="b">
        <v>1</v>
      </c>
      <c r="J19" s="26" t="b">
        <v>1</v>
      </c>
      <c r="K19" s="26" t="b">
        <v>1</v>
      </c>
      <c r="M19" s="8" t="b">
        <v>1</v>
      </c>
    </row>
    <row r="20" spans="1:13" ht="20.25" x14ac:dyDescent="0.3">
      <c r="A20" s="87" t="s">
        <v>98</v>
      </c>
      <c r="B20" s="87">
        <v>0.05</v>
      </c>
      <c r="C20" s="87">
        <v>1</v>
      </c>
      <c r="D20" s="87">
        <v>0.01</v>
      </c>
      <c r="E20" s="87">
        <v>30</v>
      </c>
      <c r="F20" s="87">
        <v>0.05</v>
      </c>
      <c r="G20" s="87">
        <v>1</v>
      </c>
      <c r="H20" s="87">
        <v>0.01</v>
      </c>
      <c r="I20" s="94" t="b">
        <v>1</v>
      </c>
      <c r="J20" s="26" t="b">
        <v>1</v>
      </c>
      <c r="K20" s="26" t="b">
        <v>1</v>
      </c>
      <c r="M20" s="8" t="b">
        <v>1</v>
      </c>
    </row>
    <row r="21" spans="1:13" ht="20.25" x14ac:dyDescent="0.3">
      <c r="A21" s="87" t="s">
        <v>192</v>
      </c>
      <c r="B21" s="87">
        <v>0.05</v>
      </c>
      <c r="C21" s="87">
        <v>1</v>
      </c>
      <c r="D21" s="87">
        <v>0.01</v>
      </c>
      <c r="E21" s="87">
        <v>30</v>
      </c>
      <c r="F21" s="87">
        <v>0.05</v>
      </c>
      <c r="G21" s="87">
        <v>1</v>
      </c>
      <c r="H21" s="87">
        <v>0.01</v>
      </c>
      <c r="I21" s="94" t="b">
        <v>1</v>
      </c>
      <c r="J21" s="26" t="b">
        <v>1</v>
      </c>
      <c r="K21" s="26" t="b">
        <v>1</v>
      </c>
      <c r="M21" s="8" t="b">
        <v>1</v>
      </c>
    </row>
    <row r="22" spans="1:13" ht="20.25" x14ac:dyDescent="0.3">
      <c r="A22" s="87" t="s">
        <v>89</v>
      </c>
      <c r="B22" s="87">
        <v>0.05</v>
      </c>
      <c r="C22" s="87">
        <v>1</v>
      </c>
      <c r="D22" s="87">
        <v>0.01</v>
      </c>
      <c r="E22" s="87">
        <v>20</v>
      </c>
      <c r="F22" s="87">
        <v>0.05</v>
      </c>
      <c r="G22" s="87">
        <v>1</v>
      </c>
      <c r="H22" s="87">
        <v>0.01</v>
      </c>
      <c r="I22" s="26" t="b">
        <v>1</v>
      </c>
      <c r="J22" s="26" t="b">
        <v>0</v>
      </c>
      <c r="K22" s="26" t="b">
        <v>1</v>
      </c>
      <c r="M22" s="8" t="b">
        <v>1</v>
      </c>
    </row>
    <row r="23" spans="1:13" ht="20.25" x14ac:dyDescent="0.3">
      <c r="A23" s="87" t="s">
        <v>109</v>
      </c>
      <c r="B23" s="87">
        <v>0.5</v>
      </c>
      <c r="C23" s="87">
        <v>11</v>
      </c>
      <c r="D23" s="87">
        <v>0.5</v>
      </c>
      <c r="E23" s="87">
        <v>20</v>
      </c>
      <c r="F23" s="87">
        <v>0.5</v>
      </c>
      <c r="G23" s="87">
        <v>11</v>
      </c>
      <c r="H23" s="87">
        <v>0.5</v>
      </c>
      <c r="I23" s="8" t="b">
        <v>0</v>
      </c>
      <c r="J23" s="8" t="b">
        <v>0</v>
      </c>
      <c r="K23" s="8" t="b">
        <v>0</v>
      </c>
      <c r="M23" s="8" t="b">
        <v>1</v>
      </c>
    </row>
    <row r="24" spans="1:13" customFormat="1" x14ac:dyDescent="0.2"/>
    <row r="25" spans="1:13" customFormat="1" x14ac:dyDescent="0.2">
      <c r="A25" t="s">
        <v>19</v>
      </c>
    </row>
    <row r="26" spans="1:13" x14ac:dyDescent="0.2">
      <c r="A26" s="94" t="s">
        <v>214</v>
      </c>
    </row>
    <row r="27" spans="1:13" x14ac:dyDescent="0.2">
      <c r="A27" s="8" t="s">
        <v>91</v>
      </c>
    </row>
    <row r="28" spans="1:13" x14ac:dyDescent="0.2">
      <c r="A28" s="8" t="s">
        <v>196</v>
      </c>
    </row>
    <row r="29" spans="1:13" x14ac:dyDescent="0.2">
      <c r="A29" s="8" t="s">
        <v>198</v>
      </c>
    </row>
    <row r="30" spans="1:13" x14ac:dyDescent="0.2">
      <c r="A30" s="8" t="s">
        <v>172</v>
      </c>
    </row>
    <row r="31" spans="1:13" x14ac:dyDescent="0.2">
      <c r="A31" s="8" t="s">
        <v>171</v>
      </c>
    </row>
    <row r="32" spans="1:13" x14ac:dyDescent="0.2">
      <c r="A32" s="8" t="s">
        <v>236</v>
      </c>
    </row>
    <row r="33" spans="1:1" x14ac:dyDescent="0.2">
      <c r="A33" s="8" t="s">
        <v>106</v>
      </c>
    </row>
    <row r="34" spans="1:1" x14ac:dyDescent="0.2">
      <c r="A34" s="8" t="s">
        <v>107</v>
      </c>
    </row>
    <row r="35" spans="1:1" x14ac:dyDescent="0.2">
      <c r="A35" s="8" t="s">
        <v>44</v>
      </c>
    </row>
    <row r="36" spans="1:1" x14ac:dyDescent="0.2">
      <c r="A36" s="8" t="s">
        <v>45</v>
      </c>
    </row>
    <row r="37" spans="1:1" x14ac:dyDescent="0.2">
      <c r="A37" s="8" t="s">
        <v>41</v>
      </c>
    </row>
    <row r="38" spans="1:1" x14ac:dyDescent="0.2">
      <c r="A38" s="8" t="s">
        <v>40</v>
      </c>
    </row>
    <row r="39" spans="1:1" x14ac:dyDescent="0.2">
      <c r="A39" s="8" t="s">
        <v>104</v>
      </c>
    </row>
    <row r="40" spans="1:1" x14ac:dyDescent="0.2">
      <c r="A40" s="8" t="s">
        <v>103</v>
      </c>
    </row>
    <row r="41" spans="1:1" x14ac:dyDescent="0.2">
      <c r="A41" s="8" t="s">
        <v>43</v>
      </c>
    </row>
    <row r="42" spans="1:1" x14ac:dyDescent="0.2">
      <c r="A42" s="8" t="s">
        <v>42</v>
      </c>
    </row>
    <row r="43" spans="1:1" x14ac:dyDescent="0.2">
      <c r="A43" s="8" t="s">
        <v>92</v>
      </c>
    </row>
    <row r="44" spans="1:1" x14ac:dyDescent="0.2">
      <c r="A44" s="8" t="s">
        <v>101</v>
      </c>
    </row>
    <row r="45" spans="1:1" x14ac:dyDescent="0.2">
      <c r="A45" s="8" t="s">
        <v>86</v>
      </c>
    </row>
    <row r="46" spans="1:1" x14ac:dyDescent="0.2">
      <c r="A46" s="8" t="s">
        <v>85</v>
      </c>
    </row>
    <row r="47" spans="1:1" x14ac:dyDescent="0.2">
      <c r="A47" s="8" t="s">
        <v>84</v>
      </c>
    </row>
    <row r="48" spans="1:1" x14ac:dyDescent="0.2">
      <c r="A48" s="8" t="s">
        <v>88</v>
      </c>
    </row>
    <row r="49" spans="1:1" x14ac:dyDescent="0.2">
      <c r="A49" s="8" t="s">
        <v>87</v>
      </c>
    </row>
    <row r="50" spans="1:1" x14ac:dyDescent="0.2">
      <c r="A50" s="8" t="s">
        <v>70</v>
      </c>
    </row>
    <row r="51" spans="1:1" x14ac:dyDescent="0.2">
      <c r="A51" s="8" t="s">
        <v>90</v>
      </c>
    </row>
    <row r="52" spans="1:1" x14ac:dyDescent="0.2">
      <c r="A52" s="8" t="s">
        <v>102</v>
      </c>
    </row>
    <row r="53" spans="1:1" x14ac:dyDescent="0.2">
      <c r="A53" s="8" t="s">
        <v>105</v>
      </c>
    </row>
    <row r="54" spans="1:1" x14ac:dyDescent="0.2">
      <c r="A54" s="8" t="s">
        <v>22</v>
      </c>
    </row>
    <row r="55" spans="1:1" x14ac:dyDescent="0.2">
      <c r="A55" s="8" t="s">
        <v>21</v>
      </c>
    </row>
    <row r="56" spans="1:1" x14ac:dyDescent="0.2">
      <c r="A56" s="94" t="s">
        <v>242</v>
      </c>
    </row>
    <row r="57" spans="1:1" x14ac:dyDescent="0.2">
      <c r="A57" s="94" t="s">
        <v>241</v>
      </c>
    </row>
    <row r="58" spans="1:1" x14ac:dyDescent="0.2">
      <c r="A58" s="94" t="s">
        <v>245</v>
      </c>
    </row>
    <row r="59" spans="1:1" x14ac:dyDescent="0.2">
      <c r="A59" s="94" t="s">
        <v>246</v>
      </c>
    </row>
    <row r="60" spans="1:1" x14ac:dyDescent="0.2">
      <c r="A60" s="94" t="s">
        <v>247</v>
      </c>
    </row>
    <row r="61" spans="1:1" x14ac:dyDescent="0.2">
      <c r="A61" s="8" t="s">
        <v>158</v>
      </c>
    </row>
    <row r="62" spans="1:1" x14ac:dyDescent="0.2">
      <c r="A62" s="8" t="s">
        <v>157</v>
      </c>
    </row>
  </sheetData>
  <sheetProtection formatCells="0" formatColumns="0" formatRows="0" insertRows="0" insertHyperlinks="0" deleteRows="0"/>
  <phoneticPr fontId="8" type="noConversion"/>
  <pageMargins left="0.75" right="0.75" top="1" bottom="1" header="0.5" footer="0.5"/>
  <pageSetup paperSize="9"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AL146"/>
  <sheetViews>
    <sheetView workbookViewId="0">
      <pane xSplit="1" ySplit="1" topLeftCell="B68" activePane="bottomRight" state="frozenSplit"/>
      <selection pane="topRight" activeCell="B1" sqref="B1"/>
      <selection pane="bottomLeft" activeCell="A2" sqref="A2"/>
      <selection pane="bottomRight" activeCell="G12" sqref="G12"/>
    </sheetView>
  </sheetViews>
  <sheetFormatPr defaultRowHeight="12.75" x14ac:dyDescent="0.2"/>
  <cols>
    <col min="1" max="1" width="9.7109375" customWidth="1"/>
    <col min="2" max="10" width="9.140625" style="8"/>
    <col min="11" max="11" width="11.28515625" style="8" customWidth="1"/>
    <col min="12" max="16" width="9.140625" style="8"/>
    <col min="17" max="17" width="15.42578125" style="8" bestFit="1" customWidth="1"/>
    <col min="18" max="18" width="16" style="8" bestFit="1" customWidth="1"/>
    <col min="19" max="19" width="11.5703125" style="8" bestFit="1" customWidth="1"/>
    <col min="20" max="20" width="11.5703125" style="8" customWidth="1"/>
    <col min="21" max="22" width="12.5703125" style="8" bestFit="1" customWidth="1"/>
    <col min="23" max="23" width="12.85546875" style="8" customWidth="1"/>
    <col min="24" max="24" width="11.7109375" style="8" customWidth="1"/>
    <col min="25" max="25" width="16.7109375" style="8" customWidth="1"/>
    <col min="26" max="26" width="15.28515625" style="8" customWidth="1"/>
    <col min="27" max="27" width="17" style="8" customWidth="1"/>
    <col min="28" max="29" width="9.140625" style="8"/>
    <col min="30" max="30" width="13.28515625" style="8" bestFit="1" customWidth="1"/>
    <col min="31" max="31" width="13.42578125" style="8" bestFit="1" customWidth="1"/>
    <col min="32" max="32" width="13.140625" style="8" bestFit="1" customWidth="1"/>
    <col min="33" max="16384" width="9.140625" style="8"/>
  </cols>
  <sheetData>
    <row r="1" spans="1:38" x14ac:dyDescent="0.2">
      <c r="A1" t="s">
        <v>12</v>
      </c>
      <c r="B1" s="8" t="s">
        <v>21</v>
      </c>
      <c r="C1" s="8" t="s">
        <v>22</v>
      </c>
      <c r="D1" s="8" t="s">
        <v>236</v>
      </c>
      <c r="E1" s="8" t="s">
        <v>45</v>
      </c>
      <c r="F1" s="8" t="s">
        <v>44</v>
      </c>
      <c r="G1" s="8" t="s">
        <v>40</v>
      </c>
      <c r="H1" s="8" t="s">
        <v>41</v>
      </c>
      <c r="I1" s="8" t="s">
        <v>42</v>
      </c>
      <c r="J1" s="8" t="s">
        <v>43</v>
      </c>
      <c r="K1" s="8" t="s">
        <v>86</v>
      </c>
      <c r="L1" s="8" t="s">
        <v>84</v>
      </c>
      <c r="M1" s="8" t="s">
        <v>85</v>
      </c>
      <c r="N1" s="8" t="s">
        <v>88</v>
      </c>
      <c r="O1" s="8" t="s">
        <v>87</v>
      </c>
      <c r="P1" s="8" t="s">
        <v>70</v>
      </c>
      <c r="Q1" s="8" t="s">
        <v>157</v>
      </c>
      <c r="R1" s="8" t="s">
        <v>158</v>
      </c>
      <c r="S1" s="8" t="s">
        <v>90</v>
      </c>
      <c r="T1" s="8" t="s">
        <v>102</v>
      </c>
      <c r="U1" s="8" t="s">
        <v>208</v>
      </c>
      <c r="V1" s="8" t="s">
        <v>91</v>
      </c>
      <c r="W1" s="8" t="s">
        <v>92</v>
      </c>
      <c r="X1" s="8" t="s">
        <v>101</v>
      </c>
      <c r="Y1" s="8" t="s">
        <v>104</v>
      </c>
      <c r="Z1" s="8" t="s">
        <v>103</v>
      </c>
      <c r="AA1" s="8" t="s">
        <v>105</v>
      </c>
      <c r="AB1" s="8" t="s">
        <v>106</v>
      </c>
      <c r="AC1" s="8" t="s">
        <v>107</v>
      </c>
      <c r="AD1" s="8" t="s">
        <v>171</v>
      </c>
      <c r="AE1" s="8" t="s">
        <v>172</v>
      </c>
      <c r="AF1" s="8" t="s">
        <v>196</v>
      </c>
      <c r="AG1" s="8" t="s">
        <v>198</v>
      </c>
      <c r="AH1" s="94" t="s">
        <v>241</v>
      </c>
      <c r="AI1" s="94" t="s">
        <v>242</v>
      </c>
      <c r="AJ1" s="94" t="s">
        <v>245</v>
      </c>
      <c r="AK1" s="94" t="s">
        <v>246</v>
      </c>
      <c r="AL1" s="94" t="s">
        <v>247</v>
      </c>
    </row>
    <row r="2" spans="1:38" x14ac:dyDescent="0.2">
      <c r="A2">
        <v>10</v>
      </c>
      <c r="AD2" s="59"/>
      <c r="AE2" s="59"/>
    </row>
    <row r="3" spans="1:38" x14ac:dyDescent="0.2">
      <c r="A3">
        <v>11</v>
      </c>
      <c r="AD3" s="59"/>
      <c r="AE3" s="59"/>
    </row>
    <row r="4" spans="1:38" x14ac:dyDescent="0.2">
      <c r="A4">
        <v>12</v>
      </c>
      <c r="AD4" s="59"/>
      <c r="AE4" s="59"/>
    </row>
    <row r="5" spans="1:38" x14ac:dyDescent="0.2">
      <c r="A5">
        <v>13</v>
      </c>
      <c r="AD5" s="59"/>
      <c r="AE5" s="59"/>
    </row>
    <row r="6" spans="1:38" x14ac:dyDescent="0.2">
      <c r="A6">
        <v>14</v>
      </c>
      <c r="AD6" s="59"/>
      <c r="AE6" s="59"/>
    </row>
    <row r="7" spans="1:38" x14ac:dyDescent="0.2">
      <c r="A7">
        <v>15</v>
      </c>
      <c r="AD7" s="59"/>
      <c r="AE7" s="59"/>
    </row>
    <row r="8" spans="1:38" x14ac:dyDescent="0.2">
      <c r="A8">
        <v>16</v>
      </c>
      <c r="AD8" s="59"/>
      <c r="AE8" s="59"/>
    </row>
    <row r="9" spans="1:38" x14ac:dyDescent="0.2">
      <c r="A9">
        <v>17</v>
      </c>
      <c r="AD9" s="59"/>
      <c r="AE9" s="59"/>
    </row>
    <row r="10" spans="1:38" x14ac:dyDescent="0.2">
      <c r="A10">
        <v>18</v>
      </c>
      <c r="AD10" s="59"/>
      <c r="AE10" s="59"/>
    </row>
    <row r="11" spans="1:38" x14ac:dyDescent="0.2">
      <c r="A11">
        <v>19</v>
      </c>
      <c r="AD11" s="59"/>
      <c r="AE11" s="59"/>
    </row>
    <row r="12" spans="1:38" x14ac:dyDescent="0.2">
      <c r="A12">
        <v>20</v>
      </c>
      <c r="B12" s="8">
        <v>7</v>
      </c>
      <c r="AD12" s="59"/>
      <c r="AE12" s="59"/>
    </row>
    <row r="13" spans="1:38" x14ac:dyDescent="0.2">
      <c r="A13">
        <v>21</v>
      </c>
      <c r="AD13" s="59"/>
      <c r="AE13" s="59"/>
    </row>
    <row r="14" spans="1:38" x14ac:dyDescent="0.2">
      <c r="A14">
        <v>22</v>
      </c>
      <c r="AD14" s="59"/>
      <c r="AE14" s="59"/>
    </row>
    <row r="15" spans="1:38" x14ac:dyDescent="0.2">
      <c r="A15">
        <v>23</v>
      </c>
      <c r="AD15" s="59"/>
      <c r="AE15" s="59"/>
    </row>
    <row r="16" spans="1:38" x14ac:dyDescent="0.2">
      <c r="A16">
        <v>24</v>
      </c>
      <c r="AD16" s="59"/>
      <c r="AE16" s="59"/>
    </row>
    <row r="17" spans="1:31" x14ac:dyDescent="0.2">
      <c r="A17">
        <v>25</v>
      </c>
      <c r="AD17" s="59"/>
      <c r="AE17" s="59"/>
    </row>
    <row r="18" spans="1:31" x14ac:dyDescent="0.2">
      <c r="A18">
        <v>26</v>
      </c>
      <c r="AD18" s="59"/>
      <c r="AE18" s="59"/>
    </row>
    <row r="19" spans="1:31" x14ac:dyDescent="0.2">
      <c r="A19">
        <v>27</v>
      </c>
      <c r="AD19" s="59"/>
      <c r="AE19" s="59"/>
    </row>
    <row r="20" spans="1:31" x14ac:dyDescent="0.2">
      <c r="A20">
        <v>28</v>
      </c>
      <c r="AD20" s="59"/>
      <c r="AE20" s="59"/>
    </row>
    <row r="21" spans="1:31" x14ac:dyDescent="0.2">
      <c r="A21">
        <v>29</v>
      </c>
      <c r="AD21" s="59"/>
      <c r="AE21" s="59"/>
    </row>
    <row r="22" spans="1:31" x14ac:dyDescent="0.2">
      <c r="A22">
        <v>30</v>
      </c>
      <c r="B22" s="8">
        <v>4.4000000000000004</v>
      </c>
      <c r="C22" s="8">
        <v>6</v>
      </c>
      <c r="AD22" s="59"/>
      <c r="AE22" s="59"/>
    </row>
    <row r="23" spans="1:31" x14ac:dyDescent="0.2">
      <c r="A23">
        <v>35</v>
      </c>
      <c r="D23" s="8">
        <v>300</v>
      </c>
      <c r="AD23" s="59"/>
      <c r="AE23" s="59"/>
    </row>
    <row r="24" spans="1:31" x14ac:dyDescent="0.2">
      <c r="A24">
        <v>40</v>
      </c>
      <c r="B24" s="8">
        <v>2.1</v>
      </c>
      <c r="C24" s="8">
        <v>3</v>
      </c>
      <c r="AD24" s="59"/>
      <c r="AE24" s="59"/>
    </row>
    <row r="25" spans="1:31" x14ac:dyDescent="0.2">
      <c r="A25">
        <v>45</v>
      </c>
      <c r="AD25" s="59"/>
      <c r="AE25" s="59"/>
    </row>
    <row r="26" spans="1:31" x14ac:dyDescent="0.2">
      <c r="A26">
        <v>50</v>
      </c>
      <c r="B26" s="8">
        <v>1.2</v>
      </c>
      <c r="C26" s="8">
        <v>1.7</v>
      </c>
      <c r="D26" s="8">
        <v>4.5</v>
      </c>
      <c r="E26" s="8">
        <v>8</v>
      </c>
      <c r="AD26" s="59"/>
      <c r="AE26" s="59"/>
    </row>
    <row r="27" spans="1:31" x14ac:dyDescent="0.2">
      <c r="A27">
        <v>55</v>
      </c>
      <c r="AD27" s="59"/>
      <c r="AE27" s="59"/>
    </row>
    <row r="28" spans="1:31" x14ac:dyDescent="0.2">
      <c r="A28">
        <v>60</v>
      </c>
      <c r="B28" s="8">
        <v>0.8</v>
      </c>
      <c r="C28" s="8">
        <v>1.1000000000000001</v>
      </c>
      <c r="E28" s="8">
        <v>3.3</v>
      </c>
      <c r="F28" s="8">
        <v>5.4</v>
      </c>
      <c r="AD28" s="59"/>
      <c r="AE28" s="59"/>
    </row>
    <row r="29" spans="1:31" x14ac:dyDescent="0.2">
      <c r="A29">
        <v>65</v>
      </c>
      <c r="AC29" s="8">
        <v>4.1399999999999997</v>
      </c>
      <c r="AD29" s="59"/>
      <c r="AE29" s="59"/>
    </row>
    <row r="30" spans="1:31" x14ac:dyDescent="0.2">
      <c r="A30">
        <v>70</v>
      </c>
      <c r="E30" s="8">
        <v>2.0499999999999998</v>
      </c>
      <c r="F30" s="8">
        <v>3</v>
      </c>
      <c r="G30" s="8">
        <v>5</v>
      </c>
      <c r="AC30" s="8">
        <v>3.6</v>
      </c>
      <c r="AD30" s="59"/>
      <c r="AE30" s="59"/>
    </row>
    <row r="31" spans="1:31" x14ac:dyDescent="0.2">
      <c r="A31">
        <v>75</v>
      </c>
      <c r="AB31" s="8">
        <v>4.0599999999999996</v>
      </c>
      <c r="AC31" s="8">
        <v>3</v>
      </c>
      <c r="AD31" s="59"/>
      <c r="AE31" s="59"/>
    </row>
    <row r="32" spans="1:31" x14ac:dyDescent="0.2">
      <c r="A32">
        <v>80</v>
      </c>
      <c r="E32" s="8">
        <v>1.45</v>
      </c>
      <c r="F32" s="8">
        <v>1.9</v>
      </c>
      <c r="G32" s="8">
        <v>2.9</v>
      </c>
      <c r="H32" s="8">
        <v>5</v>
      </c>
      <c r="AB32" s="8">
        <v>3.45</v>
      </c>
      <c r="AC32" s="8">
        <v>2.6</v>
      </c>
      <c r="AD32" s="59"/>
      <c r="AE32" s="59"/>
    </row>
    <row r="33" spans="1:35" x14ac:dyDescent="0.2">
      <c r="A33">
        <v>85</v>
      </c>
      <c r="AB33" s="8">
        <v>2.9</v>
      </c>
      <c r="AC33" s="8">
        <v>2.27</v>
      </c>
      <c r="AD33" s="59"/>
      <c r="AE33" s="59"/>
    </row>
    <row r="34" spans="1:35" x14ac:dyDescent="0.2">
      <c r="A34">
        <v>90</v>
      </c>
      <c r="E34" s="8">
        <v>1.1000000000000001</v>
      </c>
      <c r="F34" s="8">
        <v>1.4</v>
      </c>
      <c r="G34" s="8">
        <v>2</v>
      </c>
      <c r="H34" s="8">
        <v>2.7</v>
      </c>
      <c r="AB34" s="8">
        <v>2.5499999999999998</v>
      </c>
      <c r="AC34" s="8">
        <v>2</v>
      </c>
      <c r="AD34" s="59"/>
      <c r="AE34" s="59"/>
    </row>
    <row r="35" spans="1:35" x14ac:dyDescent="0.2">
      <c r="A35">
        <v>95</v>
      </c>
      <c r="AB35" s="8">
        <v>2.2000000000000002</v>
      </c>
      <c r="AC35" s="8">
        <v>1.8</v>
      </c>
      <c r="AD35" s="59"/>
      <c r="AE35" s="59"/>
    </row>
    <row r="36" spans="1:35" x14ac:dyDescent="0.2">
      <c r="A36">
        <v>100</v>
      </c>
      <c r="B36" s="8">
        <v>0.28000000000000003</v>
      </c>
      <c r="C36" s="8">
        <v>0.38</v>
      </c>
      <c r="D36" s="8">
        <v>0.7</v>
      </c>
      <c r="E36" s="8">
        <v>0.86</v>
      </c>
      <c r="F36" s="8">
        <v>1.1000000000000001</v>
      </c>
      <c r="G36" s="8">
        <v>1.5</v>
      </c>
      <c r="H36" s="8">
        <v>2</v>
      </c>
      <c r="AD36" s="59"/>
      <c r="AE36" s="59"/>
    </row>
    <row r="37" spans="1:35" x14ac:dyDescent="0.2">
      <c r="A37">
        <v>110</v>
      </c>
      <c r="E37" s="8">
        <v>0.7</v>
      </c>
      <c r="F37" s="8">
        <v>0.9</v>
      </c>
      <c r="I37" s="8">
        <v>6</v>
      </c>
      <c r="AB37" s="8">
        <v>2.0499999999999998</v>
      </c>
      <c r="AC37" s="8">
        <v>1.6</v>
      </c>
      <c r="AD37" s="59"/>
      <c r="AE37" s="59"/>
    </row>
    <row r="38" spans="1:35" x14ac:dyDescent="0.2">
      <c r="A38">
        <v>120</v>
      </c>
      <c r="E38" s="8">
        <v>0.59</v>
      </c>
      <c r="F38" s="8">
        <v>0.76</v>
      </c>
      <c r="H38" s="8">
        <v>1.2</v>
      </c>
      <c r="J38" s="8">
        <v>5.4</v>
      </c>
      <c r="AB38" s="8">
        <v>1.4</v>
      </c>
      <c r="AC38" s="8">
        <v>1.1100000000000001</v>
      </c>
      <c r="AD38" s="59"/>
      <c r="AE38" s="59"/>
    </row>
    <row r="39" spans="1:35" x14ac:dyDescent="0.2">
      <c r="A39">
        <v>130</v>
      </c>
      <c r="F39" s="8">
        <v>0.64</v>
      </c>
      <c r="G39" s="8">
        <v>0.8</v>
      </c>
      <c r="I39" s="8">
        <v>3</v>
      </c>
      <c r="O39" s="8">
        <v>5</v>
      </c>
      <c r="AD39" s="59"/>
      <c r="AE39" s="59"/>
    </row>
    <row r="40" spans="1:35" x14ac:dyDescent="0.2">
      <c r="A40">
        <v>140</v>
      </c>
      <c r="F40" s="8">
        <v>0.55000000000000004</v>
      </c>
      <c r="L40" s="8">
        <v>5</v>
      </c>
      <c r="O40" s="8">
        <v>4</v>
      </c>
      <c r="AB40" s="8">
        <v>1.02</v>
      </c>
      <c r="AC40" s="8">
        <v>0.8</v>
      </c>
      <c r="AD40" s="59"/>
      <c r="AE40" s="59"/>
    </row>
    <row r="41" spans="1:35" x14ac:dyDescent="0.2">
      <c r="A41">
        <v>150</v>
      </c>
      <c r="E41" s="8">
        <v>0.37</v>
      </c>
      <c r="F41" s="8">
        <v>0.48</v>
      </c>
      <c r="H41" s="8">
        <v>0.78</v>
      </c>
      <c r="I41" s="8">
        <v>2</v>
      </c>
      <c r="J41" s="8">
        <v>2.5</v>
      </c>
      <c r="L41" s="8">
        <v>4</v>
      </c>
      <c r="O41" s="8">
        <v>3</v>
      </c>
      <c r="Z41" s="8">
        <v>5.36</v>
      </c>
      <c r="AD41" s="59"/>
      <c r="AE41" s="59"/>
    </row>
    <row r="42" spans="1:35" x14ac:dyDescent="0.2">
      <c r="A42">
        <v>160</v>
      </c>
      <c r="L42" s="8">
        <v>3</v>
      </c>
      <c r="M42" s="8">
        <v>5</v>
      </c>
      <c r="O42" s="8">
        <v>2</v>
      </c>
      <c r="Z42" s="8">
        <v>4.26</v>
      </c>
      <c r="AB42" s="8">
        <v>0.77</v>
      </c>
      <c r="AC42" s="8">
        <v>0.6</v>
      </c>
      <c r="AD42" s="59"/>
      <c r="AE42" s="59"/>
    </row>
    <row r="43" spans="1:35" x14ac:dyDescent="0.2">
      <c r="A43">
        <v>170</v>
      </c>
      <c r="M43" s="8">
        <v>4</v>
      </c>
      <c r="O43" s="8">
        <v>1.6</v>
      </c>
      <c r="Z43" s="8">
        <v>3.2</v>
      </c>
      <c r="AD43" s="59"/>
      <c r="AE43" s="59"/>
    </row>
    <row r="44" spans="1:35" x14ac:dyDescent="0.2">
      <c r="A44">
        <v>180</v>
      </c>
      <c r="F44" s="8">
        <v>0.34</v>
      </c>
      <c r="G44" s="8">
        <v>0.38</v>
      </c>
      <c r="I44" s="8">
        <v>1.25</v>
      </c>
      <c r="J44" s="8">
        <v>1.5</v>
      </c>
      <c r="L44" s="8">
        <v>2</v>
      </c>
      <c r="M44" s="8">
        <v>3</v>
      </c>
      <c r="Y44" s="8">
        <v>4.8</v>
      </c>
      <c r="Z44" s="8">
        <v>1.02</v>
      </c>
      <c r="AB44" s="8">
        <v>0.62</v>
      </c>
      <c r="AC44" s="8">
        <v>0.46</v>
      </c>
      <c r="AD44" s="59"/>
      <c r="AE44" s="59"/>
      <c r="AI44" s="8">
        <v>2.5</v>
      </c>
    </row>
    <row r="45" spans="1:35" x14ac:dyDescent="0.2">
      <c r="A45">
        <v>190</v>
      </c>
      <c r="K45" s="8">
        <v>5</v>
      </c>
      <c r="X45" s="8">
        <v>4.66</v>
      </c>
      <c r="Y45" s="8">
        <v>3.4</v>
      </c>
      <c r="Z45" s="8">
        <v>0.56000000000000005</v>
      </c>
      <c r="AD45" s="59"/>
      <c r="AE45" s="59"/>
      <c r="AI45" s="8">
        <v>1.9</v>
      </c>
    </row>
    <row r="46" spans="1:35" x14ac:dyDescent="0.2">
      <c r="A46">
        <v>200</v>
      </c>
      <c r="B46" s="8">
        <v>0.06</v>
      </c>
      <c r="C46" s="8">
        <v>0.1</v>
      </c>
      <c r="D46" s="8">
        <v>0.17</v>
      </c>
      <c r="E46" s="8">
        <v>0.21</v>
      </c>
      <c r="F46" s="8">
        <v>0.28000000000000003</v>
      </c>
      <c r="K46" s="8">
        <v>4</v>
      </c>
      <c r="M46" s="8">
        <v>2</v>
      </c>
      <c r="N46" s="8">
        <v>5</v>
      </c>
      <c r="O46" s="8">
        <v>1</v>
      </c>
      <c r="U46" s="8">
        <v>130</v>
      </c>
      <c r="X46" s="8">
        <v>3.53</v>
      </c>
      <c r="Y46" s="8">
        <v>2</v>
      </c>
      <c r="Z46" s="8">
        <v>0.43</v>
      </c>
      <c r="AB46" s="8">
        <v>0.5</v>
      </c>
      <c r="AC46" s="8">
        <v>0.36</v>
      </c>
      <c r="AD46" s="59"/>
      <c r="AE46" s="59"/>
      <c r="AI46" s="8">
        <v>1.45</v>
      </c>
    </row>
    <row r="47" spans="1:35" x14ac:dyDescent="0.2">
      <c r="A47">
        <v>210</v>
      </c>
      <c r="H47" s="8">
        <v>0.38</v>
      </c>
      <c r="K47" s="8">
        <v>3</v>
      </c>
      <c r="N47" s="8">
        <v>4</v>
      </c>
      <c r="X47" s="8">
        <v>2.6</v>
      </c>
      <c r="Y47" s="8">
        <v>0.86</v>
      </c>
      <c r="Z47" s="8">
        <v>0.33</v>
      </c>
      <c r="AD47" s="59"/>
      <c r="AE47" s="59"/>
      <c r="AI47" s="8">
        <v>1.2</v>
      </c>
    </row>
    <row r="48" spans="1:35" x14ac:dyDescent="0.2">
      <c r="A48">
        <v>220</v>
      </c>
      <c r="I48" s="8">
        <v>0.8</v>
      </c>
      <c r="J48" s="8">
        <v>0.96</v>
      </c>
      <c r="K48" s="8">
        <v>2</v>
      </c>
      <c r="O48" s="8">
        <v>0.74</v>
      </c>
      <c r="X48" s="8">
        <v>1.56</v>
      </c>
      <c r="Y48" s="8">
        <v>0.4</v>
      </c>
      <c r="Z48" s="8">
        <v>0.25</v>
      </c>
      <c r="AB48" s="8">
        <v>0.42</v>
      </c>
      <c r="AC48" s="8">
        <v>0.3</v>
      </c>
      <c r="AD48" s="59"/>
      <c r="AE48" s="59"/>
      <c r="AI48" s="8">
        <v>1.05</v>
      </c>
    </row>
    <row r="49" spans="1:38" x14ac:dyDescent="0.2">
      <c r="A49">
        <v>230</v>
      </c>
      <c r="L49" s="8">
        <v>1.2</v>
      </c>
      <c r="N49" s="8">
        <v>3.1</v>
      </c>
      <c r="T49" s="8">
        <v>4.9000000000000004</v>
      </c>
      <c r="W49" s="8">
        <v>4.5</v>
      </c>
      <c r="X49" s="8">
        <v>1.08</v>
      </c>
      <c r="Y49" s="8">
        <v>0.3</v>
      </c>
      <c r="Z49" s="8">
        <v>0.2</v>
      </c>
      <c r="AD49" s="59"/>
      <c r="AE49" s="59"/>
      <c r="AI49" s="8">
        <v>0.95</v>
      </c>
    </row>
    <row r="50" spans="1:38" x14ac:dyDescent="0.2">
      <c r="A50">
        <v>240</v>
      </c>
      <c r="F50" s="8">
        <v>0.2</v>
      </c>
      <c r="K50" s="8">
        <v>1</v>
      </c>
      <c r="M50" s="8">
        <v>1.36</v>
      </c>
      <c r="N50" s="8">
        <v>2.8</v>
      </c>
      <c r="O50" s="8">
        <v>0.57999999999999996</v>
      </c>
      <c r="T50" s="8">
        <v>4.2</v>
      </c>
      <c r="W50" s="8">
        <v>3.02</v>
      </c>
      <c r="X50" s="8">
        <v>0.76</v>
      </c>
      <c r="Y50" s="8">
        <v>0.21</v>
      </c>
      <c r="Z50" s="8">
        <v>0.17</v>
      </c>
      <c r="AB50" s="8">
        <v>0.35</v>
      </c>
      <c r="AC50" s="8">
        <v>0.25</v>
      </c>
      <c r="AD50" s="59"/>
      <c r="AE50" s="59"/>
      <c r="AI50" s="8">
        <v>0.85</v>
      </c>
    </row>
    <row r="51" spans="1:38" x14ac:dyDescent="0.2">
      <c r="A51">
        <v>250</v>
      </c>
      <c r="E51" s="8">
        <v>0.13500000000000001</v>
      </c>
      <c r="G51" s="8">
        <v>0.2</v>
      </c>
      <c r="K51" s="8">
        <v>0.66</v>
      </c>
      <c r="T51" s="8">
        <v>3.4</v>
      </c>
      <c r="W51" s="8">
        <v>2.0099999999999998</v>
      </c>
      <c r="X51" s="8">
        <v>0.6</v>
      </c>
      <c r="Y51" s="8">
        <v>0.15</v>
      </c>
      <c r="Z51" s="8">
        <v>0.15</v>
      </c>
      <c r="AB51" s="8">
        <v>0.32200000000000001</v>
      </c>
      <c r="AD51" s="59"/>
      <c r="AE51" s="59"/>
      <c r="AI51" s="8">
        <v>0.77</v>
      </c>
    </row>
    <row r="52" spans="1:38" x14ac:dyDescent="0.2">
      <c r="A52">
        <v>260</v>
      </c>
      <c r="K52" s="8">
        <v>0.5</v>
      </c>
      <c r="N52" s="8">
        <v>2.1</v>
      </c>
      <c r="T52" s="8">
        <v>3</v>
      </c>
      <c r="W52" s="8">
        <v>1.4</v>
      </c>
      <c r="X52" s="8">
        <v>0.48</v>
      </c>
      <c r="Y52" s="8">
        <v>0.12</v>
      </c>
      <c r="Z52" s="8">
        <v>0.13</v>
      </c>
      <c r="AB52" s="8">
        <v>0.28999999999999998</v>
      </c>
      <c r="AD52" s="59"/>
      <c r="AE52" s="59"/>
      <c r="AI52" s="8">
        <v>0.7</v>
      </c>
    </row>
    <row r="53" spans="1:38" x14ac:dyDescent="0.2">
      <c r="A53">
        <v>270</v>
      </c>
      <c r="L53" s="8">
        <v>0.8</v>
      </c>
      <c r="M53" s="8">
        <v>1.04</v>
      </c>
      <c r="T53" s="8">
        <v>2.2599999999999998</v>
      </c>
      <c r="V53" s="8">
        <v>5.9</v>
      </c>
      <c r="W53" s="8">
        <v>1.04</v>
      </c>
      <c r="X53" s="8">
        <v>0.4</v>
      </c>
      <c r="Y53" s="8">
        <v>0.09</v>
      </c>
      <c r="Z53" s="8">
        <v>0.11</v>
      </c>
      <c r="AA53" s="8">
        <v>4</v>
      </c>
      <c r="AB53" s="8">
        <v>0.27</v>
      </c>
      <c r="AC53" s="8">
        <v>0.19</v>
      </c>
      <c r="AD53" s="59"/>
      <c r="AE53" s="59"/>
      <c r="AH53" s="8">
        <v>2.5</v>
      </c>
      <c r="AI53" s="8">
        <v>0.63</v>
      </c>
    </row>
    <row r="54" spans="1:38" x14ac:dyDescent="0.2">
      <c r="A54">
        <v>280</v>
      </c>
      <c r="T54" s="8">
        <v>1.6</v>
      </c>
      <c r="V54" s="8">
        <v>4.4000000000000004</v>
      </c>
      <c r="W54" s="8">
        <v>0.92</v>
      </c>
      <c r="X54" s="8">
        <v>0.36</v>
      </c>
      <c r="Z54" s="8">
        <v>0.1</v>
      </c>
      <c r="AA54" s="8">
        <v>3.5</v>
      </c>
      <c r="AD54" s="59"/>
      <c r="AE54" s="59"/>
      <c r="AH54" s="8">
        <v>1.95</v>
      </c>
      <c r="AI54" s="8">
        <v>0.57999999999999996</v>
      </c>
      <c r="AJ54" s="8">
        <v>22</v>
      </c>
    </row>
    <row r="55" spans="1:38" x14ac:dyDescent="0.2">
      <c r="A55">
        <v>290</v>
      </c>
      <c r="O55" s="8">
        <v>0.38</v>
      </c>
      <c r="T55" s="8">
        <v>1.25</v>
      </c>
      <c r="V55" s="8">
        <v>3.4</v>
      </c>
      <c r="W55" s="8">
        <v>0.77</v>
      </c>
      <c r="X55" s="8">
        <v>0.32</v>
      </c>
      <c r="AA55" s="8">
        <v>2.8</v>
      </c>
      <c r="AD55" s="59"/>
      <c r="AE55" s="59"/>
      <c r="AH55" s="8">
        <v>1.7</v>
      </c>
      <c r="AI55" s="8">
        <v>0.54</v>
      </c>
    </row>
    <row r="56" spans="1:38" x14ac:dyDescent="0.2">
      <c r="A56">
        <v>300</v>
      </c>
      <c r="E56" s="8">
        <v>9.2999999999999999E-2</v>
      </c>
      <c r="F56" s="8">
        <v>0.14000000000000001</v>
      </c>
      <c r="H56" s="8">
        <v>0.2</v>
      </c>
      <c r="I56" s="8">
        <v>0.42</v>
      </c>
      <c r="J56" s="8">
        <v>0.51</v>
      </c>
      <c r="K56" s="8">
        <v>0.28000000000000003</v>
      </c>
      <c r="M56" s="8">
        <v>0.8</v>
      </c>
      <c r="N56" s="8">
        <v>1.4</v>
      </c>
      <c r="P56" s="8">
        <v>4</v>
      </c>
      <c r="T56" s="8">
        <v>0.8</v>
      </c>
      <c r="U56" s="8">
        <v>7</v>
      </c>
      <c r="V56" s="8">
        <v>2.44</v>
      </c>
      <c r="W56" s="8">
        <v>0.63</v>
      </c>
      <c r="X56" s="8">
        <v>0.28999999999999998</v>
      </c>
      <c r="AA56" s="8">
        <v>2.5</v>
      </c>
      <c r="AB56" s="8">
        <v>0.20499999999999999</v>
      </c>
      <c r="AC56" s="8">
        <v>0.15</v>
      </c>
      <c r="AD56" s="59"/>
      <c r="AE56" s="59"/>
      <c r="AH56" s="8">
        <v>1.52</v>
      </c>
      <c r="AI56" s="8">
        <v>0.5</v>
      </c>
    </row>
    <row r="57" spans="1:38" x14ac:dyDescent="0.2">
      <c r="A57">
        <v>350</v>
      </c>
      <c r="E57" s="8">
        <v>6.9000000000000006E-2</v>
      </c>
      <c r="F57" s="8">
        <v>0.11</v>
      </c>
      <c r="G57" s="8">
        <v>0.1</v>
      </c>
      <c r="K57" s="8">
        <v>0.14000000000000001</v>
      </c>
      <c r="L57" s="8">
        <v>0.48</v>
      </c>
      <c r="N57" s="8">
        <v>1</v>
      </c>
      <c r="O57" s="8">
        <v>0.25</v>
      </c>
      <c r="S57" s="8">
        <v>5</v>
      </c>
      <c r="T57" s="8">
        <v>0.35</v>
      </c>
      <c r="U57" s="8">
        <v>3</v>
      </c>
      <c r="V57" s="8">
        <v>0.96</v>
      </c>
      <c r="W57" s="8">
        <v>0.2</v>
      </c>
      <c r="X57" s="8">
        <v>0.14000000000000001</v>
      </c>
      <c r="AA57" s="8">
        <v>1.75</v>
      </c>
      <c r="AB57" s="8">
        <v>0.16</v>
      </c>
      <c r="AC57" s="8">
        <v>0.1</v>
      </c>
      <c r="AD57" s="59"/>
      <c r="AE57" s="59"/>
      <c r="AH57" s="8">
        <v>0.95</v>
      </c>
      <c r="AI57" s="8">
        <v>0.37</v>
      </c>
      <c r="AK57" s="8">
        <v>22</v>
      </c>
    </row>
    <row r="58" spans="1:38" x14ac:dyDescent="0.2">
      <c r="A58">
        <v>400</v>
      </c>
      <c r="E58" s="8">
        <v>5.2999999999999999E-2</v>
      </c>
      <c r="F58" s="8">
        <v>9.2999999999999999E-2</v>
      </c>
      <c r="I58" s="8">
        <v>0.22</v>
      </c>
      <c r="J58" s="8">
        <v>0.28999999999999998</v>
      </c>
      <c r="K58" s="8">
        <v>7.0000000000000007E-2</v>
      </c>
      <c r="L58" s="8">
        <v>0.36</v>
      </c>
      <c r="M58" s="8">
        <v>0.47</v>
      </c>
      <c r="N58" s="8">
        <v>0.77</v>
      </c>
      <c r="O58" s="8">
        <v>0.2</v>
      </c>
      <c r="S58" s="8">
        <v>2.2999999999999998</v>
      </c>
      <c r="T58" s="8">
        <v>0.18</v>
      </c>
      <c r="V58" s="8">
        <v>0.51</v>
      </c>
      <c r="W58" s="8">
        <v>0.1</v>
      </c>
      <c r="X58" s="8">
        <v>0.06</v>
      </c>
      <c r="AA58" s="8">
        <v>1.22</v>
      </c>
      <c r="AB58" s="8">
        <v>0.13</v>
      </c>
      <c r="AC58" s="8">
        <v>0.08</v>
      </c>
      <c r="AD58" s="59"/>
      <c r="AE58" s="59"/>
      <c r="AH58" s="8">
        <v>0.64</v>
      </c>
      <c r="AI58" s="8">
        <v>0.28000000000000003</v>
      </c>
      <c r="AL58" s="8">
        <v>22</v>
      </c>
    </row>
    <row r="59" spans="1:38" x14ac:dyDescent="0.2">
      <c r="A59">
        <v>450</v>
      </c>
      <c r="E59" s="8">
        <v>4.1500000000000002E-2</v>
      </c>
      <c r="H59" s="8">
        <v>0.1</v>
      </c>
      <c r="M59" s="8">
        <v>0.36</v>
      </c>
      <c r="N59" s="8">
        <v>0.62</v>
      </c>
      <c r="O59" s="8">
        <v>0.15</v>
      </c>
      <c r="P59" s="8">
        <v>1.7</v>
      </c>
      <c r="S59" s="8">
        <v>0.51</v>
      </c>
      <c r="T59" s="8">
        <v>0.1</v>
      </c>
      <c r="U59" s="8">
        <v>1</v>
      </c>
      <c r="V59" s="8">
        <v>0.3</v>
      </c>
      <c r="AA59" s="8">
        <v>0.98</v>
      </c>
      <c r="AB59" s="8">
        <v>0.1</v>
      </c>
      <c r="AC59" s="8">
        <v>0.06</v>
      </c>
      <c r="AD59" s="59"/>
      <c r="AE59" s="59">
        <v>4</v>
      </c>
      <c r="AF59" s="8">
        <v>2.7</v>
      </c>
      <c r="AG59" s="8">
        <v>3.3</v>
      </c>
      <c r="AH59" s="8">
        <v>0.5</v>
      </c>
      <c r="AI59" s="8">
        <v>0.22</v>
      </c>
    </row>
    <row r="60" spans="1:38" x14ac:dyDescent="0.2">
      <c r="A60">
        <v>500</v>
      </c>
      <c r="B60" s="8">
        <v>1E-3</v>
      </c>
      <c r="C60" s="8">
        <v>0.02</v>
      </c>
      <c r="D60" s="8">
        <v>0.04</v>
      </c>
      <c r="F60" s="8">
        <v>7.0000000000000007E-2</v>
      </c>
      <c r="G60" s="8">
        <v>0.05</v>
      </c>
      <c r="I60" s="8">
        <v>0.14000000000000001</v>
      </c>
      <c r="J60" s="8">
        <v>0.19500000000000001</v>
      </c>
      <c r="L60" s="8">
        <v>0.23</v>
      </c>
      <c r="N60" s="8">
        <v>0.5</v>
      </c>
      <c r="O60" s="8">
        <v>0.12</v>
      </c>
      <c r="S60" s="8">
        <v>0.3</v>
      </c>
      <c r="U60" s="8">
        <v>0.6</v>
      </c>
      <c r="V60" s="8">
        <v>0.2</v>
      </c>
      <c r="AA60" s="8">
        <v>0.8</v>
      </c>
      <c r="AB60" s="8">
        <v>0.09</v>
      </c>
      <c r="AC60" s="8">
        <v>0.05</v>
      </c>
      <c r="AD60" s="59"/>
      <c r="AE60" s="59">
        <v>2</v>
      </c>
      <c r="AF60" s="8" t="s">
        <v>197</v>
      </c>
      <c r="AG60" s="8" t="s">
        <v>197</v>
      </c>
      <c r="AH60" s="8">
        <v>0.41</v>
      </c>
      <c r="AI60" s="8">
        <v>0.18</v>
      </c>
    </row>
    <row r="61" spans="1:38" x14ac:dyDescent="0.2">
      <c r="A61">
        <v>550</v>
      </c>
      <c r="N61" s="8">
        <v>0.4</v>
      </c>
      <c r="S61" s="8">
        <v>0.17</v>
      </c>
      <c r="U61" s="8">
        <v>0.4</v>
      </c>
      <c r="V61" s="8">
        <v>0.14000000000000001</v>
      </c>
      <c r="AA61" s="8">
        <v>0.66</v>
      </c>
      <c r="AB61" s="8">
        <v>0.08</v>
      </c>
      <c r="AC61" s="8">
        <v>4.4999999999999998E-2</v>
      </c>
      <c r="AD61" s="59">
        <v>4</v>
      </c>
      <c r="AE61" s="59">
        <v>1.2</v>
      </c>
      <c r="AF61" s="8">
        <v>0.9</v>
      </c>
      <c r="AG61" s="8">
        <v>1.1000000000000001</v>
      </c>
      <c r="AH61" s="8">
        <v>0.34</v>
      </c>
      <c r="AI61" s="8">
        <v>0.15</v>
      </c>
    </row>
    <row r="62" spans="1:38" x14ac:dyDescent="0.2">
      <c r="A62">
        <v>600</v>
      </c>
      <c r="M62" s="8">
        <v>0.22</v>
      </c>
      <c r="N62" s="8">
        <v>0.34</v>
      </c>
      <c r="O62" s="8">
        <v>0.08</v>
      </c>
      <c r="P62" s="8">
        <v>0.92</v>
      </c>
      <c r="S62" s="8">
        <v>0.1</v>
      </c>
      <c r="U62" s="8">
        <v>0.3</v>
      </c>
      <c r="V62" s="8">
        <v>0.1</v>
      </c>
      <c r="AA62" s="8">
        <v>0.56000000000000005</v>
      </c>
      <c r="AB62" s="8">
        <v>7.0000000000000007E-2</v>
      </c>
      <c r="AC62" s="8">
        <v>0.04</v>
      </c>
      <c r="AD62" s="59">
        <v>2.5</v>
      </c>
      <c r="AE62" s="59">
        <v>0.8</v>
      </c>
      <c r="AF62" s="8">
        <v>0.67500000000000004</v>
      </c>
      <c r="AG62" s="8">
        <v>0.82499999999999996</v>
      </c>
      <c r="AH62" s="8">
        <v>0.28999999999999998</v>
      </c>
      <c r="AI62" s="8">
        <v>0.13</v>
      </c>
    </row>
    <row r="63" spans="1:38" x14ac:dyDescent="0.2">
      <c r="A63">
        <v>650</v>
      </c>
      <c r="V63" s="8">
        <v>0.08</v>
      </c>
      <c r="AA63" s="8">
        <v>0.47</v>
      </c>
      <c r="AD63" s="59">
        <v>1.5</v>
      </c>
      <c r="AE63" s="59">
        <v>0.48</v>
      </c>
      <c r="AF63" s="8" t="s">
        <v>197</v>
      </c>
      <c r="AG63" s="8" t="s">
        <v>197</v>
      </c>
      <c r="AH63" s="8">
        <v>0.25</v>
      </c>
      <c r="AI63" s="8">
        <v>0.11</v>
      </c>
    </row>
    <row r="64" spans="1:38" x14ac:dyDescent="0.2">
      <c r="A64">
        <v>700</v>
      </c>
      <c r="F64" s="8">
        <v>0.05</v>
      </c>
      <c r="N64" s="8">
        <v>0.25</v>
      </c>
      <c r="O64" s="8">
        <v>0.05</v>
      </c>
      <c r="V64" s="8">
        <v>0.06</v>
      </c>
      <c r="AA64" s="8">
        <v>0.4</v>
      </c>
      <c r="AD64" s="59">
        <v>1</v>
      </c>
      <c r="AE64" s="59">
        <v>0.35</v>
      </c>
      <c r="AF64" s="8">
        <v>0.34200000000000003</v>
      </c>
      <c r="AG64" s="8">
        <v>0.41800000000000004</v>
      </c>
      <c r="AH64" s="8">
        <v>0.22</v>
      </c>
      <c r="AI64" s="8">
        <v>0.1</v>
      </c>
      <c r="AJ64" s="8">
        <v>3.8</v>
      </c>
    </row>
    <row r="65" spans="1:38" x14ac:dyDescent="0.2">
      <c r="A65">
        <v>750</v>
      </c>
      <c r="L65" s="8">
        <v>0.1</v>
      </c>
      <c r="V65" s="8">
        <v>0.05</v>
      </c>
      <c r="AA65" s="8">
        <v>0.35</v>
      </c>
      <c r="AD65" s="59"/>
      <c r="AE65" s="59"/>
      <c r="AF65" s="8" t="s">
        <v>197</v>
      </c>
      <c r="AG65" s="8" t="s">
        <v>197</v>
      </c>
      <c r="AH65" s="8">
        <v>0.19500000000000001</v>
      </c>
      <c r="AI65" s="8">
        <v>0.1</v>
      </c>
    </row>
    <row r="66" spans="1:38" x14ac:dyDescent="0.2">
      <c r="A66">
        <v>800</v>
      </c>
      <c r="N66" s="8">
        <v>0.2</v>
      </c>
      <c r="P66" s="8">
        <v>0.53500000000000003</v>
      </c>
      <c r="AA66" s="8">
        <v>0.31</v>
      </c>
      <c r="AB66" s="8">
        <v>0.04</v>
      </c>
      <c r="AC66" s="8">
        <v>0.02</v>
      </c>
      <c r="AD66" s="59">
        <v>0.5</v>
      </c>
      <c r="AE66" s="59">
        <v>0.2</v>
      </c>
      <c r="AF66" s="8">
        <v>0.216</v>
      </c>
      <c r="AG66" s="8">
        <v>0.26400000000000001</v>
      </c>
      <c r="AH66" s="8">
        <v>0.17499999999999999</v>
      </c>
      <c r="AI66" s="8">
        <v>0.1</v>
      </c>
    </row>
    <row r="67" spans="1:38" x14ac:dyDescent="0.2">
      <c r="A67">
        <v>850</v>
      </c>
      <c r="H67" s="8">
        <v>0.04</v>
      </c>
      <c r="I67" s="8">
        <v>0.05</v>
      </c>
      <c r="J67" s="8">
        <v>8.7999999999999995E-2</v>
      </c>
      <c r="AA67" s="8">
        <v>0.28000000000000003</v>
      </c>
      <c r="AD67" s="59">
        <v>0.35</v>
      </c>
      <c r="AE67" s="59"/>
      <c r="AF67" s="8" t="s">
        <v>197</v>
      </c>
      <c r="AG67" s="8" t="s">
        <v>197</v>
      </c>
      <c r="AH67" s="8">
        <v>0.155</v>
      </c>
      <c r="AK67" s="8">
        <v>3.8</v>
      </c>
    </row>
    <row r="68" spans="1:38" x14ac:dyDescent="0.2">
      <c r="A68">
        <v>900</v>
      </c>
      <c r="E68" s="8">
        <v>1.0500000000000001E-2</v>
      </c>
      <c r="N68" s="8">
        <v>0.15</v>
      </c>
      <c r="P68" s="8">
        <v>0.4</v>
      </c>
      <c r="U68" s="8">
        <v>7.0000000000000007E-2</v>
      </c>
      <c r="AA68" s="8">
        <v>0.25</v>
      </c>
      <c r="AD68" s="59">
        <v>0.25</v>
      </c>
      <c r="AE68" s="59"/>
      <c r="AF68" s="8">
        <v>0.15300000000000002</v>
      </c>
      <c r="AG68" s="8">
        <v>0.18700000000000003</v>
      </c>
      <c r="AH68" s="8">
        <v>0.13500000000000001</v>
      </c>
    </row>
    <row r="69" spans="1:38" x14ac:dyDescent="0.2">
      <c r="A69">
        <v>950</v>
      </c>
      <c r="M69" s="8">
        <v>0.1</v>
      </c>
      <c r="AA69" s="8">
        <v>0.23</v>
      </c>
      <c r="AD69" s="59">
        <v>0.19</v>
      </c>
      <c r="AE69" s="59"/>
      <c r="AF69" s="8" t="s">
        <v>197</v>
      </c>
      <c r="AG69" s="8" t="s">
        <v>197</v>
      </c>
      <c r="AH69" s="8">
        <v>0.12</v>
      </c>
    </row>
    <row r="70" spans="1:38" x14ac:dyDescent="0.2">
      <c r="A70">
        <v>1000</v>
      </c>
      <c r="D70" s="8">
        <v>1.9E-2</v>
      </c>
      <c r="F70" s="8">
        <v>0.04</v>
      </c>
      <c r="L70" s="8">
        <v>0.04</v>
      </c>
      <c r="N70" s="8">
        <v>0.12</v>
      </c>
      <c r="O70" s="8">
        <v>3.5000000000000003E-2</v>
      </c>
      <c r="P70" s="8">
        <v>0.34</v>
      </c>
      <c r="AA70" s="8">
        <v>0.21</v>
      </c>
      <c r="AD70" s="59">
        <v>0.14000000000000001</v>
      </c>
      <c r="AE70" s="59">
        <v>0.1</v>
      </c>
      <c r="AH70" s="8">
        <v>0.11</v>
      </c>
      <c r="AL70" s="8">
        <v>3.8</v>
      </c>
    </row>
    <row r="71" spans="1:38" x14ac:dyDescent="0.2">
      <c r="A71">
        <v>1100</v>
      </c>
      <c r="G71" s="8">
        <v>0.01</v>
      </c>
      <c r="AA71" s="8">
        <v>0.19</v>
      </c>
      <c r="AD71" s="59"/>
      <c r="AE71" s="59"/>
      <c r="AF71" s="8" t="s">
        <v>197</v>
      </c>
      <c r="AG71" s="8" t="s">
        <v>197</v>
      </c>
      <c r="AH71" s="8">
        <v>0.11</v>
      </c>
      <c r="AJ71" s="8">
        <v>0.47</v>
      </c>
    </row>
    <row r="72" spans="1:38" x14ac:dyDescent="0.2">
      <c r="A72">
        <v>1200</v>
      </c>
      <c r="Q72" s="8">
        <v>5</v>
      </c>
      <c r="AA72" s="8">
        <v>0.16</v>
      </c>
      <c r="AD72" s="59">
        <v>0.08</v>
      </c>
      <c r="AE72" s="59"/>
      <c r="AF72" s="8" t="s">
        <v>197</v>
      </c>
      <c r="AG72" s="8" t="s">
        <v>197</v>
      </c>
      <c r="AH72" s="8">
        <v>0.1</v>
      </c>
    </row>
    <row r="73" spans="1:38" x14ac:dyDescent="0.2">
      <c r="A73">
        <v>1300</v>
      </c>
      <c r="N73" s="8">
        <v>0.08</v>
      </c>
      <c r="AD73" s="59"/>
      <c r="AE73" s="59"/>
      <c r="AF73" s="8" t="s">
        <v>197</v>
      </c>
      <c r="AG73" s="8" t="s">
        <v>197</v>
      </c>
      <c r="AH73" s="8">
        <v>0.1</v>
      </c>
    </row>
    <row r="74" spans="1:38" x14ac:dyDescent="0.2">
      <c r="A74">
        <v>1300</v>
      </c>
      <c r="N74" s="8">
        <v>0.08</v>
      </c>
      <c r="AD74" s="59"/>
      <c r="AE74" s="59"/>
      <c r="AF74" s="8" t="s">
        <v>197</v>
      </c>
      <c r="AG74" s="8" t="s">
        <v>197</v>
      </c>
      <c r="AH74" s="8">
        <v>0.1</v>
      </c>
    </row>
    <row r="75" spans="1:38" x14ac:dyDescent="0.2">
      <c r="A75">
        <v>1400</v>
      </c>
      <c r="Q75" s="8">
        <v>4</v>
      </c>
      <c r="AD75" s="59"/>
      <c r="AE75" s="59">
        <v>0.03</v>
      </c>
      <c r="AF75" s="8" t="s">
        <v>197</v>
      </c>
      <c r="AG75" s="8" t="s">
        <v>197</v>
      </c>
      <c r="AH75" s="8">
        <v>0.1</v>
      </c>
      <c r="AJ75" s="8">
        <v>0.16</v>
      </c>
      <c r="AK75" s="8">
        <v>0.47</v>
      </c>
    </row>
    <row r="76" spans="1:38" x14ac:dyDescent="0.2">
      <c r="A76">
        <v>1500</v>
      </c>
      <c r="M76" s="8">
        <v>0.04</v>
      </c>
      <c r="AA76" s="8">
        <v>0.11</v>
      </c>
      <c r="AD76" s="59">
        <v>0.04</v>
      </c>
      <c r="AE76" s="59"/>
      <c r="AF76" s="8">
        <v>2.52E-2</v>
      </c>
      <c r="AG76" s="8">
        <v>3.0800000000000004E-2</v>
      </c>
    </row>
    <row r="77" spans="1:38" x14ac:dyDescent="0.2">
      <c r="A77">
        <v>1500</v>
      </c>
      <c r="M77" s="8">
        <v>0.04</v>
      </c>
      <c r="AA77" s="8">
        <v>0.11</v>
      </c>
      <c r="AD77" s="59">
        <v>0.04</v>
      </c>
      <c r="AE77" s="59"/>
      <c r="AF77" s="8">
        <v>2.52E-2</v>
      </c>
      <c r="AG77" s="8">
        <v>3.0800000000000004E-2</v>
      </c>
    </row>
    <row r="78" spans="1:38" x14ac:dyDescent="0.2">
      <c r="A78">
        <v>1600</v>
      </c>
      <c r="Q78" s="8">
        <v>3</v>
      </c>
      <c r="AD78" s="59"/>
      <c r="AE78" s="59"/>
      <c r="AF78" s="8" t="s">
        <v>197</v>
      </c>
      <c r="AG78" s="8" t="s">
        <v>197</v>
      </c>
      <c r="AL78" s="8">
        <v>0.47</v>
      </c>
    </row>
    <row r="79" spans="1:38" x14ac:dyDescent="0.2">
      <c r="A79">
        <v>1700</v>
      </c>
      <c r="AD79" s="59">
        <v>0.02</v>
      </c>
      <c r="AE79" s="59"/>
      <c r="AF79" s="8" t="s">
        <v>197</v>
      </c>
      <c r="AG79" s="8" t="s">
        <v>197</v>
      </c>
      <c r="AJ79" s="8">
        <v>7.8E-2</v>
      </c>
      <c r="AK79" s="8">
        <v>0.16</v>
      </c>
    </row>
    <row r="80" spans="1:38" x14ac:dyDescent="0.2">
      <c r="A80">
        <v>1800</v>
      </c>
      <c r="AD80" s="59"/>
      <c r="AE80" s="59"/>
      <c r="AF80" s="8" t="s">
        <v>197</v>
      </c>
      <c r="AG80" s="8" t="s">
        <v>197</v>
      </c>
    </row>
    <row r="81" spans="1:38" x14ac:dyDescent="0.2">
      <c r="A81">
        <v>1900</v>
      </c>
      <c r="I81" s="8">
        <v>0.01</v>
      </c>
      <c r="Q81" s="8">
        <v>2</v>
      </c>
      <c r="AD81" s="59">
        <v>0.01</v>
      </c>
      <c r="AE81" s="59"/>
      <c r="AF81" s="8" t="s">
        <v>197</v>
      </c>
      <c r="AG81" s="8" t="s">
        <v>197</v>
      </c>
    </row>
    <row r="82" spans="1:38" x14ac:dyDescent="0.2">
      <c r="A82">
        <v>1950</v>
      </c>
      <c r="AD82" s="59"/>
      <c r="AE82" s="59"/>
    </row>
    <row r="83" spans="1:38" x14ac:dyDescent="0.2">
      <c r="A83">
        <v>1950</v>
      </c>
      <c r="AD83" s="59"/>
      <c r="AE83" s="59"/>
    </row>
    <row r="84" spans="1:38" x14ac:dyDescent="0.2">
      <c r="A84">
        <v>2000</v>
      </c>
      <c r="D84" s="8">
        <v>1.4999999999999999E-2</v>
      </c>
      <c r="P84" s="8">
        <v>9.5000000000000001E-2</v>
      </c>
      <c r="AA84" s="8">
        <v>0.08</v>
      </c>
      <c r="AD84" s="59"/>
      <c r="AE84" s="59"/>
      <c r="AF84" s="8">
        <v>1.17E-2</v>
      </c>
      <c r="AG84" s="8">
        <v>1.43E-2</v>
      </c>
      <c r="AL84" s="8">
        <v>0.16</v>
      </c>
    </row>
    <row r="85" spans="1:38" x14ac:dyDescent="0.2">
      <c r="A85">
        <v>2100</v>
      </c>
      <c r="AD85" s="59"/>
      <c r="AE85" s="59">
        <v>0.01</v>
      </c>
      <c r="AF85" s="8" t="s">
        <v>197</v>
      </c>
      <c r="AG85" s="8" t="s">
        <v>197</v>
      </c>
      <c r="AJ85" s="8">
        <v>4.2000000000000003E-2</v>
      </c>
      <c r="AK85" s="8">
        <v>7.8E-2</v>
      </c>
    </row>
    <row r="86" spans="1:38" x14ac:dyDescent="0.2">
      <c r="A86">
        <v>2200</v>
      </c>
      <c r="Q86" s="8">
        <v>1.5</v>
      </c>
      <c r="AD86" s="59"/>
      <c r="AE86" s="59"/>
      <c r="AF86" s="8" t="s">
        <v>197</v>
      </c>
      <c r="AG86" s="8" t="s">
        <v>197</v>
      </c>
    </row>
    <row r="87" spans="1:38" x14ac:dyDescent="0.2">
      <c r="A87">
        <v>2210</v>
      </c>
      <c r="AD87" s="59"/>
      <c r="AE87" s="59"/>
    </row>
    <row r="88" spans="1:38" x14ac:dyDescent="0.2">
      <c r="A88">
        <v>2210</v>
      </c>
      <c r="AD88" s="59"/>
      <c r="AE88" s="59"/>
    </row>
    <row r="89" spans="1:38" x14ac:dyDescent="0.2">
      <c r="A89">
        <v>2300</v>
      </c>
      <c r="L89" s="8">
        <v>0.01</v>
      </c>
      <c r="AD89" s="59"/>
      <c r="AE89" s="59"/>
      <c r="AF89" s="8" t="s">
        <v>197</v>
      </c>
      <c r="AG89" s="8" t="s">
        <v>197</v>
      </c>
    </row>
    <row r="90" spans="1:38" x14ac:dyDescent="0.2">
      <c r="A90">
        <v>2400</v>
      </c>
      <c r="N90" s="8">
        <v>0.04</v>
      </c>
      <c r="O90" s="8">
        <v>0.01</v>
      </c>
      <c r="Q90" s="8">
        <v>0.02</v>
      </c>
      <c r="AD90" s="59"/>
      <c r="AE90" s="59"/>
      <c r="AF90" s="8" t="s">
        <v>197</v>
      </c>
      <c r="AG90" s="8" t="s">
        <v>197</v>
      </c>
      <c r="AL90" s="8">
        <v>7.8E-2</v>
      </c>
    </row>
    <row r="91" spans="1:38" x14ac:dyDescent="0.2">
      <c r="A91">
        <v>2500</v>
      </c>
      <c r="AA91" s="8">
        <v>0.06</v>
      </c>
      <c r="AD91" s="59"/>
      <c r="AE91" s="59"/>
      <c r="AF91" s="8" t="s">
        <v>197</v>
      </c>
      <c r="AG91" s="8" t="s">
        <v>197</v>
      </c>
    </row>
    <row r="92" spans="1:38" x14ac:dyDescent="0.2">
      <c r="A92">
        <v>2600</v>
      </c>
      <c r="R92" s="8">
        <v>5</v>
      </c>
      <c r="AD92" s="59"/>
      <c r="AE92" s="59"/>
      <c r="AF92" s="8" t="s">
        <v>197</v>
      </c>
      <c r="AG92" s="8" t="s">
        <v>197</v>
      </c>
    </row>
    <row r="93" spans="1:38" x14ac:dyDescent="0.2">
      <c r="A93">
        <v>2700</v>
      </c>
      <c r="R93" s="8">
        <v>2</v>
      </c>
      <c r="AD93" s="59"/>
      <c r="AE93" s="59"/>
      <c r="AF93" s="8" t="s">
        <v>197</v>
      </c>
      <c r="AG93" s="8" t="s">
        <v>197</v>
      </c>
    </row>
    <row r="94" spans="1:38" x14ac:dyDescent="0.2">
      <c r="A94">
        <v>2800</v>
      </c>
      <c r="R94" s="8">
        <v>0.4</v>
      </c>
      <c r="AD94" s="59"/>
      <c r="AE94" s="59"/>
      <c r="AF94" s="8">
        <v>3.6000000000000003E-3</v>
      </c>
      <c r="AG94" s="8">
        <v>4.4000000000000003E-3</v>
      </c>
      <c r="AJ94" s="8">
        <v>2.5999999999999999E-2</v>
      </c>
    </row>
    <row r="95" spans="1:38" x14ac:dyDescent="0.2">
      <c r="A95">
        <v>2900</v>
      </c>
      <c r="R95" s="8">
        <v>0.3</v>
      </c>
      <c r="AD95" s="59"/>
      <c r="AE95" s="59"/>
      <c r="AF95" s="8" t="s">
        <v>197</v>
      </c>
      <c r="AG95" s="8" t="s">
        <v>197</v>
      </c>
    </row>
    <row r="96" spans="1:38" x14ac:dyDescent="0.2">
      <c r="A96">
        <v>3000</v>
      </c>
      <c r="F96" s="8">
        <v>0.01</v>
      </c>
      <c r="P96" s="8">
        <v>0.05</v>
      </c>
      <c r="R96" s="8">
        <v>0.2</v>
      </c>
      <c r="AA96" s="8">
        <v>0.05</v>
      </c>
      <c r="AD96" s="59"/>
      <c r="AE96" s="59"/>
      <c r="AK96" s="8">
        <v>0.03</v>
      </c>
      <c r="AL96" s="8">
        <v>4.2000000000000003E-2</v>
      </c>
    </row>
    <row r="97" spans="1:38" x14ac:dyDescent="0.2">
      <c r="A97">
        <v>3500</v>
      </c>
      <c r="AA97" s="8">
        <v>4.4999999999999998E-2</v>
      </c>
      <c r="AD97" s="59"/>
      <c r="AE97" s="59"/>
      <c r="AJ97" s="8">
        <v>2.3E-2</v>
      </c>
      <c r="AK97" s="8">
        <v>2.5999999999999999E-2</v>
      </c>
      <c r="AL97" s="8">
        <v>0.03</v>
      </c>
    </row>
    <row r="98" spans="1:38" x14ac:dyDescent="0.2">
      <c r="A98">
        <v>4000</v>
      </c>
      <c r="P98" s="8">
        <v>3.4000000000000002E-2</v>
      </c>
      <c r="R98" s="8">
        <v>6.5000000000000002E-2</v>
      </c>
      <c r="AA98" s="8">
        <v>0.04</v>
      </c>
      <c r="AD98" s="59"/>
      <c r="AE98" s="59"/>
      <c r="AJ98" s="8">
        <v>2.1000000000000001E-2</v>
      </c>
      <c r="AL98" s="8">
        <v>2.5999999999999999E-2</v>
      </c>
    </row>
    <row r="99" spans="1:38" x14ac:dyDescent="0.2">
      <c r="A99">
        <v>4500</v>
      </c>
      <c r="R99" s="8">
        <v>0.05</v>
      </c>
      <c r="AD99" s="59"/>
      <c r="AE99" s="59"/>
    </row>
    <row r="100" spans="1:38" x14ac:dyDescent="0.2">
      <c r="A100">
        <v>5000</v>
      </c>
      <c r="J100" s="8">
        <v>2.4E-2</v>
      </c>
      <c r="R100" s="8">
        <v>4.4999999999999998E-2</v>
      </c>
      <c r="AD100" s="59"/>
      <c r="AE100" s="59"/>
      <c r="AK100" s="8">
        <v>0.02</v>
      </c>
    </row>
    <row r="101" spans="1:38" x14ac:dyDescent="0.2">
      <c r="A101">
        <v>5500</v>
      </c>
      <c r="R101" s="8">
        <v>0.04</v>
      </c>
      <c r="AD101" s="59"/>
      <c r="AE101" s="59"/>
    </row>
    <row r="102" spans="1:38" x14ac:dyDescent="0.2">
      <c r="A102">
        <v>6000</v>
      </c>
      <c r="P102" s="8">
        <v>2.3E-2</v>
      </c>
      <c r="AD102" s="59"/>
      <c r="AE102" s="59"/>
      <c r="AL102" s="8">
        <v>0.02</v>
      </c>
    </row>
    <row r="103" spans="1:38" x14ac:dyDescent="0.2">
      <c r="A103">
        <v>6500</v>
      </c>
      <c r="AD103" s="59"/>
      <c r="AE103" s="59"/>
    </row>
    <row r="104" spans="1:38" x14ac:dyDescent="0.2">
      <c r="A104">
        <v>7000</v>
      </c>
      <c r="H104" s="8">
        <v>0.02</v>
      </c>
      <c r="AD104" s="59"/>
      <c r="AE104" s="59"/>
    </row>
    <row r="105" spans="1:38" x14ac:dyDescent="0.2">
      <c r="A105">
        <v>7500</v>
      </c>
      <c r="AD105" s="59"/>
      <c r="AE105" s="59"/>
    </row>
    <row r="106" spans="1:38" x14ac:dyDescent="0.2">
      <c r="A106">
        <v>8000</v>
      </c>
      <c r="AD106" s="59"/>
      <c r="AE106" s="59"/>
    </row>
    <row r="107" spans="1:38" x14ac:dyDescent="0.2">
      <c r="A107">
        <v>8500</v>
      </c>
      <c r="AD107" s="59"/>
      <c r="AE107" s="59"/>
    </row>
    <row r="108" spans="1:38" x14ac:dyDescent="0.2">
      <c r="A108">
        <v>9000</v>
      </c>
      <c r="AD108" s="59"/>
      <c r="AE108" s="59"/>
    </row>
    <row r="109" spans="1:38" x14ac:dyDescent="0.2">
      <c r="A109">
        <v>9500</v>
      </c>
      <c r="M109" s="8">
        <v>0.01</v>
      </c>
      <c r="AD109" s="59"/>
      <c r="AE109" s="59"/>
    </row>
    <row r="110" spans="1:38" x14ac:dyDescent="0.2">
      <c r="A110">
        <v>10000</v>
      </c>
      <c r="F110" s="8">
        <v>1.7999999999999999E-2</v>
      </c>
      <c r="N110" s="8">
        <v>0.01</v>
      </c>
      <c r="P110" s="8">
        <v>1.7000000000000001E-2</v>
      </c>
      <c r="R110" s="8">
        <v>0.03</v>
      </c>
      <c r="AD110" s="59"/>
      <c r="AE110" s="59"/>
    </row>
    <row r="111" spans="1:38" x14ac:dyDescent="0.2">
      <c r="A111">
        <v>11000</v>
      </c>
      <c r="AD111" s="59"/>
      <c r="AE111" s="59"/>
    </row>
    <row r="112" spans="1:38" x14ac:dyDescent="0.2">
      <c r="A112">
        <v>12000</v>
      </c>
      <c r="AD112" s="59"/>
      <c r="AE112" s="59"/>
    </row>
    <row r="113" spans="1:31" x14ac:dyDescent="0.2">
      <c r="A113">
        <v>13000</v>
      </c>
      <c r="AD113" s="59"/>
      <c r="AE113" s="59"/>
    </row>
    <row r="114" spans="1:31" x14ac:dyDescent="0.2">
      <c r="A114">
        <v>14000</v>
      </c>
      <c r="AD114" s="59"/>
      <c r="AE114" s="59"/>
    </row>
    <row r="115" spans="1:31" x14ac:dyDescent="0.2">
      <c r="A115">
        <v>15000</v>
      </c>
      <c r="AD115" s="59"/>
      <c r="AE115" s="59"/>
    </row>
    <row r="116" spans="1:31" x14ac:dyDescent="0.2">
      <c r="A116">
        <v>16000</v>
      </c>
      <c r="AD116" s="59"/>
      <c r="AE116" s="59"/>
    </row>
    <row r="117" spans="1:31" x14ac:dyDescent="0.2">
      <c r="A117">
        <v>17000</v>
      </c>
      <c r="AD117" s="59"/>
      <c r="AE117" s="59"/>
    </row>
    <row r="118" spans="1:31" x14ac:dyDescent="0.2">
      <c r="A118">
        <v>18000</v>
      </c>
      <c r="AD118" s="59"/>
      <c r="AE118" s="59"/>
    </row>
    <row r="119" spans="1:31" x14ac:dyDescent="0.2">
      <c r="A119">
        <v>19000</v>
      </c>
      <c r="AD119" s="59"/>
      <c r="AE119" s="59"/>
    </row>
    <row r="120" spans="1:31" x14ac:dyDescent="0.2">
      <c r="A120">
        <v>20000</v>
      </c>
      <c r="R120" s="8">
        <v>0.02</v>
      </c>
      <c r="AD120" s="59"/>
      <c r="AE120" s="59"/>
    </row>
    <row r="121" spans="1:31" x14ac:dyDescent="0.2">
      <c r="A121">
        <v>21000</v>
      </c>
      <c r="AD121" s="59"/>
      <c r="AE121" s="59"/>
    </row>
    <row r="122" spans="1:31" x14ac:dyDescent="0.2">
      <c r="A122">
        <v>22000</v>
      </c>
      <c r="AD122" s="59"/>
      <c r="AE122" s="59"/>
    </row>
    <row r="123" spans="1:31" x14ac:dyDescent="0.2">
      <c r="A123">
        <v>23000</v>
      </c>
      <c r="AD123" s="59"/>
      <c r="AE123" s="59"/>
    </row>
    <row r="124" spans="1:31" x14ac:dyDescent="0.2">
      <c r="A124">
        <v>24000</v>
      </c>
      <c r="AD124" s="59"/>
      <c r="AE124" s="59"/>
    </row>
    <row r="125" spans="1:31" x14ac:dyDescent="0.2">
      <c r="A125">
        <v>25000</v>
      </c>
      <c r="AD125" s="59"/>
      <c r="AE125" s="59"/>
    </row>
    <row r="126" spans="1:31" x14ac:dyDescent="0.2">
      <c r="A126">
        <v>26000</v>
      </c>
      <c r="AD126" s="59"/>
      <c r="AE126" s="59"/>
    </row>
    <row r="127" spans="1:31" x14ac:dyDescent="0.2">
      <c r="A127">
        <v>27000</v>
      </c>
      <c r="AD127" s="59"/>
      <c r="AE127" s="59"/>
    </row>
    <row r="128" spans="1:31" x14ac:dyDescent="0.2">
      <c r="A128">
        <v>28000</v>
      </c>
      <c r="AD128" s="59"/>
      <c r="AE128" s="59"/>
    </row>
    <row r="129" spans="1:31" x14ac:dyDescent="0.2">
      <c r="A129">
        <v>29000</v>
      </c>
      <c r="AD129" s="59"/>
      <c r="AE129" s="59"/>
    </row>
    <row r="130" spans="1:31" x14ac:dyDescent="0.2">
      <c r="A130">
        <v>30000</v>
      </c>
      <c r="AD130" s="59"/>
      <c r="AE130" s="59"/>
    </row>
    <row r="131" spans="1:31" x14ac:dyDescent="0.2">
      <c r="A131">
        <v>35000</v>
      </c>
      <c r="AD131" s="59"/>
      <c r="AE131" s="59"/>
    </row>
    <row r="132" spans="1:31" x14ac:dyDescent="0.2">
      <c r="A132">
        <v>40000</v>
      </c>
      <c r="AD132" s="59"/>
      <c r="AE132" s="59"/>
    </row>
    <row r="133" spans="1:31" x14ac:dyDescent="0.2">
      <c r="A133">
        <v>45000</v>
      </c>
      <c r="AD133" s="59"/>
      <c r="AE133" s="59"/>
    </row>
    <row r="134" spans="1:31" x14ac:dyDescent="0.2">
      <c r="A134">
        <v>50000</v>
      </c>
      <c r="AD134" s="59"/>
      <c r="AE134" s="59"/>
    </row>
    <row r="135" spans="1:31" x14ac:dyDescent="0.2">
      <c r="A135">
        <v>55000</v>
      </c>
      <c r="AD135" s="59"/>
      <c r="AE135" s="59"/>
    </row>
    <row r="136" spans="1:31" x14ac:dyDescent="0.2">
      <c r="A136">
        <v>60000</v>
      </c>
      <c r="AD136" s="59"/>
      <c r="AE136" s="59"/>
    </row>
    <row r="137" spans="1:31" x14ac:dyDescent="0.2">
      <c r="A137">
        <v>65000</v>
      </c>
      <c r="AD137" s="59"/>
      <c r="AE137" s="59"/>
    </row>
    <row r="138" spans="1:31" x14ac:dyDescent="0.2">
      <c r="A138">
        <v>70000</v>
      </c>
      <c r="AD138" s="59"/>
      <c r="AE138" s="59"/>
    </row>
    <row r="139" spans="1:31" x14ac:dyDescent="0.2">
      <c r="A139">
        <v>75000</v>
      </c>
      <c r="AD139" s="59"/>
      <c r="AE139" s="59"/>
    </row>
    <row r="140" spans="1:31" x14ac:dyDescent="0.2">
      <c r="A140">
        <v>80000</v>
      </c>
      <c r="AD140" s="59"/>
      <c r="AE140" s="59"/>
    </row>
    <row r="141" spans="1:31" x14ac:dyDescent="0.2">
      <c r="A141">
        <v>85000</v>
      </c>
      <c r="AD141" s="59"/>
      <c r="AE141" s="59"/>
    </row>
    <row r="142" spans="1:31" x14ac:dyDescent="0.2">
      <c r="A142">
        <v>90000</v>
      </c>
      <c r="AD142" s="59"/>
      <c r="AE142" s="59"/>
    </row>
    <row r="143" spans="1:31" x14ac:dyDescent="0.2">
      <c r="A143">
        <v>95000</v>
      </c>
      <c r="AD143" s="59"/>
      <c r="AE143" s="59"/>
    </row>
    <row r="144" spans="1:31" x14ac:dyDescent="0.2">
      <c r="A144">
        <v>100000</v>
      </c>
      <c r="AD144" s="59"/>
      <c r="AE144" s="59"/>
    </row>
    <row r="145" spans="31:31" x14ac:dyDescent="0.2">
      <c r="AE145" s="59"/>
    </row>
    <row r="146" spans="31:31" x14ac:dyDescent="0.2">
      <c r="AE146" s="59"/>
    </row>
  </sheetData>
  <phoneticPr fontId="8" type="noConversion"/>
  <pageMargins left="0.75" right="0.75" top="1" bottom="1" header="0.5" footer="0.5"/>
  <headerFooter alignWithMargins="0"/>
  <drawing r:id="rId1"/>
  <legacyDrawing r:id="rId2"/>
  <controls>
    <mc:AlternateContent xmlns:mc="http://schemas.openxmlformats.org/markup-compatibility/2006">
      <mc:Choice Requires="x14">
        <control shapeId="9965569" r:id="rId3" name="RefreshCurves">
          <controlPr defaultSize="0" autoLine="0" r:id="rId4">
            <anchor moveWithCells="1">
              <from>
                <xdr:col>2</xdr:col>
                <xdr:colOff>9525</xdr:colOff>
                <xdr:row>2</xdr:row>
                <xdr:rowOff>0</xdr:rowOff>
              </from>
              <to>
                <xdr:col>4</xdr:col>
                <xdr:colOff>9525</xdr:colOff>
                <xdr:row>4</xdr:row>
                <xdr:rowOff>0</xdr:rowOff>
              </to>
            </anchor>
          </controlPr>
        </control>
      </mc:Choice>
      <mc:Fallback>
        <control shapeId="9965569" r:id="rId3" name="RefreshCurves"/>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E25"/>
  <sheetViews>
    <sheetView topLeftCell="A22" workbookViewId="0">
      <selection activeCell="B26" sqref="B26"/>
    </sheetView>
  </sheetViews>
  <sheetFormatPr defaultRowHeight="12.75" x14ac:dyDescent="0.2"/>
  <cols>
    <col min="1" max="1" width="9.140625" style="46"/>
    <col min="2" max="2" width="10.140625" style="46" bestFit="1" customWidth="1"/>
    <col min="3" max="3" width="111" style="79" customWidth="1"/>
    <col min="4" max="4" width="9.140625" style="46"/>
  </cols>
  <sheetData>
    <row r="1" spans="1:4" x14ac:dyDescent="0.2">
      <c r="A1" s="46" t="s">
        <v>72</v>
      </c>
      <c r="B1" s="46" t="s">
        <v>79</v>
      </c>
      <c r="C1" s="79" t="s">
        <v>26</v>
      </c>
      <c r="D1" s="46" t="s">
        <v>150</v>
      </c>
    </row>
    <row r="2" spans="1:4" x14ac:dyDescent="0.2">
      <c r="A2" s="46" t="s">
        <v>73</v>
      </c>
      <c r="C2" s="79" t="s">
        <v>74</v>
      </c>
    </row>
    <row r="3" spans="1:4" ht="25.5" x14ac:dyDescent="0.2">
      <c r="A3" s="46" t="s">
        <v>76</v>
      </c>
      <c r="B3" s="48">
        <v>37209</v>
      </c>
      <c r="C3" s="79" t="s">
        <v>77</v>
      </c>
    </row>
    <row r="4" spans="1:4" ht="255" x14ac:dyDescent="0.2">
      <c r="A4" s="46" t="s">
        <v>78</v>
      </c>
      <c r="B4" s="48">
        <v>37308</v>
      </c>
      <c r="C4" s="78" t="s">
        <v>83</v>
      </c>
    </row>
    <row r="5" spans="1:4" x14ac:dyDescent="0.2">
      <c r="A5" s="46">
        <v>2.2000000000000002</v>
      </c>
      <c r="B5" s="77" t="s">
        <v>147</v>
      </c>
      <c r="C5" s="80" t="s">
        <v>148</v>
      </c>
    </row>
    <row r="6" spans="1:4" ht="232.5" customHeight="1" x14ac:dyDescent="0.2">
      <c r="A6" s="76" t="s">
        <v>149</v>
      </c>
      <c r="B6" s="48">
        <v>38723</v>
      </c>
      <c r="C6" s="78" t="s">
        <v>164</v>
      </c>
      <c r="D6" s="46" t="s">
        <v>151</v>
      </c>
    </row>
    <row r="7" spans="1:4" ht="63.75" x14ac:dyDescent="0.2">
      <c r="A7" s="46" t="s">
        <v>162</v>
      </c>
      <c r="B7" s="48">
        <v>38751</v>
      </c>
      <c r="C7" s="79" t="s">
        <v>163</v>
      </c>
      <c r="D7" s="46" t="s">
        <v>151</v>
      </c>
    </row>
    <row r="8" spans="1:4" ht="25.5" x14ac:dyDescent="0.2">
      <c r="A8" s="46" t="s">
        <v>165</v>
      </c>
      <c r="B8" s="48">
        <v>38778</v>
      </c>
      <c r="C8" s="79" t="s">
        <v>166</v>
      </c>
      <c r="D8" s="46" t="s">
        <v>151</v>
      </c>
    </row>
    <row r="9" spans="1:4" x14ac:dyDescent="0.2">
      <c r="A9" s="46" t="s">
        <v>167</v>
      </c>
      <c r="B9" s="48">
        <v>38845</v>
      </c>
      <c r="C9" s="79" t="s">
        <v>168</v>
      </c>
      <c r="D9" s="46" t="s">
        <v>169</v>
      </c>
    </row>
    <row r="10" spans="1:4" x14ac:dyDescent="0.2">
      <c r="A10" s="46" t="s">
        <v>173</v>
      </c>
      <c r="B10" s="48">
        <v>38881</v>
      </c>
      <c r="C10" s="79" t="s">
        <v>176</v>
      </c>
      <c r="D10" s="46" t="s">
        <v>174</v>
      </c>
    </row>
    <row r="11" spans="1:4" ht="25.5" x14ac:dyDescent="0.2">
      <c r="A11" s="46" t="s">
        <v>175</v>
      </c>
      <c r="B11" s="48">
        <v>38917</v>
      </c>
      <c r="C11" s="79" t="s">
        <v>178</v>
      </c>
      <c r="D11" s="46" t="s">
        <v>177</v>
      </c>
    </row>
    <row r="12" spans="1:4" x14ac:dyDescent="0.2">
      <c r="A12" s="46" t="s">
        <v>180</v>
      </c>
      <c r="B12" s="48">
        <v>39444</v>
      </c>
      <c r="C12" s="79" t="s">
        <v>181</v>
      </c>
      <c r="D12" s="46" t="s">
        <v>182</v>
      </c>
    </row>
    <row r="13" spans="1:4" x14ac:dyDescent="0.2">
      <c r="A13" s="46" t="s">
        <v>183</v>
      </c>
      <c r="B13" s="48">
        <v>39689</v>
      </c>
      <c r="C13" s="79" t="s">
        <v>184</v>
      </c>
      <c r="D13" s="46" t="s">
        <v>185</v>
      </c>
    </row>
    <row r="14" spans="1:4" x14ac:dyDescent="0.2">
      <c r="A14" s="46" t="s">
        <v>188</v>
      </c>
      <c r="B14" s="48">
        <v>39778</v>
      </c>
      <c r="C14" s="79" t="s">
        <v>186</v>
      </c>
      <c r="D14" s="46" t="s">
        <v>187</v>
      </c>
    </row>
    <row r="15" spans="1:4" x14ac:dyDescent="0.2">
      <c r="A15" s="86" t="s">
        <v>189</v>
      </c>
      <c r="B15" s="48">
        <v>39786</v>
      </c>
      <c r="C15" s="79" t="s">
        <v>190</v>
      </c>
      <c r="D15" s="46" t="s">
        <v>187</v>
      </c>
    </row>
    <row r="16" spans="1:4" x14ac:dyDescent="0.2">
      <c r="A16" s="46" t="s">
        <v>193</v>
      </c>
      <c r="B16" s="48">
        <v>40268</v>
      </c>
      <c r="C16" s="79" t="s">
        <v>195</v>
      </c>
      <c r="D16" s="46" t="s">
        <v>194</v>
      </c>
    </row>
    <row r="17" spans="1:5" x14ac:dyDescent="0.2">
      <c r="A17" s="46" t="s">
        <v>199</v>
      </c>
      <c r="B17" s="48">
        <v>40856</v>
      </c>
      <c r="C17" s="79" t="s">
        <v>200</v>
      </c>
      <c r="D17" s="46" t="s">
        <v>201</v>
      </c>
    </row>
    <row r="18" spans="1:5" x14ac:dyDescent="0.2">
      <c r="A18" s="46" t="s">
        <v>202</v>
      </c>
      <c r="B18" s="48">
        <v>40878</v>
      </c>
      <c r="C18" s="79" t="s">
        <v>204</v>
      </c>
      <c r="D18" s="46" t="s">
        <v>203</v>
      </c>
    </row>
    <row r="19" spans="1:5" ht="255" x14ac:dyDescent="0.2">
      <c r="A19" s="46" t="s">
        <v>206</v>
      </c>
      <c r="B19" s="48">
        <v>41173</v>
      </c>
      <c r="C19" s="80" t="s">
        <v>218</v>
      </c>
      <c r="D19" s="46" t="s">
        <v>207</v>
      </c>
    </row>
    <row r="20" spans="1:5" ht="216.75" x14ac:dyDescent="0.2">
      <c r="A20" s="95" t="s">
        <v>220</v>
      </c>
      <c r="B20" s="48">
        <v>41198</v>
      </c>
      <c r="C20" s="80" t="s">
        <v>226</v>
      </c>
      <c r="D20" s="95" t="s">
        <v>207</v>
      </c>
    </row>
    <row r="21" spans="1:5" ht="280.5" x14ac:dyDescent="0.2">
      <c r="A21" s="46" t="s">
        <v>230</v>
      </c>
      <c r="B21" s="48">
        <v>41201</v>
      </c>
      <c r="C21" s="80" t="s">
        <v>231</v>
      </c>
      <c r="D21" s="46" t="s">
        <v>207</v>
      </c>
    </row>
    <row r="22" spans="1:5" ht="76.5" x14ac:dyDescent="0.2">
      <c r="A22" s="46" t="s">
        <v>233</v>
      </c>
      <c r="B22" s="48">
        <v>41207</v>
      </c>
      <c r="C22" s="79" t="s">
        <v>234</v>
      </c>
      <c r="D22" s="46" t="s">
        <v>207</v>
      </c>
    </row>
    <row r="23" spans="1:5" ht="114.75" x14ac:dyDescent="0.2">
      <c r="A23" s="95" t="s">
        <v>235</v>
      </c>
      <c r="B23" s="48">
        <v>41229</v>
      </c>
      <c r="C23" s="80" t="s">
        <v>237</v>
      </c>
      <c r="D23" s="95" t="s">
        <v>207</v>
      </c>
    </row>
    <row r="24" spans="1:5" ht="38.25" x14ac:dyDescent="0.2">
      <c r="A24" s="95" t="s">
        <v>240</v>
      </c>
      <c r="B24" s="48">
        <v>41548</v>
      </c>
      <c r="C24" s="80" t="s">
        <v>243</v>
      </c>
      <c r="D24" s="110" t="s">
        <v>244</v>
      </c>
      <c r="E24" s="111"/>
    </row>
    <row r="25" spans="1:5" x14ac:dyDescent="0.2">
      <c r="A25" s="46" t="s">
        <v>254</v>
      </c>
      <c r="B25" s="48">
        <v>42658</v>
      </c>
      <c r="C25" s="79" t="s">
        <v>255</v>
      </c>
      <c r="D25" s="46" t="s">
        <v>256</v>
      </c>
    </row>
  </sheetData>
  <mergeCells count="1">
    <mergeCell ref="D24:E24"/>
  </mergeCells>
  <phoneticPr fontId="8" type="noConversion"/>
  <pageMargins left="0.75" right="0.75" top="1" bottom="1" header="0.5" footer="0.5"/>
  <pageSetup paperSize="9" orientation="portrait" r:id="rId1"/>
  <headerFooter alignWithMargins="0"/>
  <ignoredErrors>
    <ignoredError sqref="A6 B5"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2</vt:i4>
      </vt:variant>
      <vt:variant>
        <vt:lpstr>Named Ranges</vt:lpstr>
      </vt:variant>
      <vt:variant>
        <vt:i4>12</vt:i4>
      </vt:variant>
    </vt:vector>
  </HeadingPairs>
  <TitlesOfParts>
    <vt:vector size="30" baseType="lpstr">
      <vt:lpstr>Calcs</vt:lpstr>
      <vt:lpstr>Faults</vt:lpstr>
      <vt:lpstr>Print</vt:lpstr>
      <vt:lpstr>Relay 1</vt:lpstr>
      <vt:lpstr>Relay 2</vt:lpstr>
      <vt:lpstr>Relay 3</vt:lpstr>
      <vt:lpstr>Relay 4</vt:lpstr>
      <vt:lpstr>Relay 5</vt:lpstr>
      <vt:lpstr>Relay 6</vt:lpstr>
      <vt:lpstr>Relay 7</vt:lpstr>
      <vt:lpstr>Relay 8</vt:lpstr>
      <vt:lpstr>Relay 9</vt:lpstr>
      <vt:lpstr>Relay 10</vt:lpstr>
      <vt:lpstr>List</vt:lpstr>
      <vt:lpstr>Custom Curves</vt:lpstr>
      <vt:lpstr>Version History</vt:lpstr>
      <vt:lpstr>Grading Curves</vt:lpstr>
      <vt:lpstr>Scratchpad</vt:lpstr>
      <vt:lpstr>Faults!Print_Area</vt:lpstr>
      <vt:lpstr>'Relay 1'!Print_Area</vt:lpstr>
      <vt:lpstr>'Relay 10'!Print_Area</vt:lpstr>
      <vt:lpstr>'Relay 2'!Print_Area</vt:lpstr>
      <vt:lpstr>'Relay 3'!Print_Area</vt:lpstr>
      <vt:lpstr>'Relay 4'!Print_Area</vt:lpstr>
      <vt:lpstr>'Relay 5'!Print_Area</vt:lpstr>
      <vt:lpstr>'Relay 6'!Print_Area</vt:lpstr>
      <vt:lpstr>'Relay 7'!Print_Area</vt:lpstr>
      <vt:lpstr>'Relay 8'!Print_Area</vt:lpstr>
      <vt:lpstr>'Relay 9'!Print_Area</vt:lpstr>
      <vt:lpstr>RELAYS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Edwards</dc:creator>
  <cp:lastModifiedBy>Dan Park</cp:lastModifiedBy>
  <cp:lastPrinted>2013-04-03T02:13:57Z</cp:lastPrinted>
  <dcterms:created xsi:type="dcterms:W3CDTF">2001-02-16T09:16:26Z</dcterms:created>
  <dcterms:modified xsi:type="dcterms:W3CDTF">2024-05-14T12:52:32Z</dcterms:modified>
</cp:coreProperties>
</file>